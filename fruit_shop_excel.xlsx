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796" windowHeight="8400" firstSheet="2" activeTab="1"/>
  </bookViews>
  <sheets>
    <sheet name="products" sheetId="1" r:id="rId1"/>
    <sheet name="Sheet2" sheetId="5" r:id="rId2"/>
    <sheet name="sales" sheetId="3" r:id="rId3"/>
    <sheet name="stores" sheetId="2" r:id="rId4"/>
    <sheet name="Sheet1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<sst xmlns="http://schemas.openxmlformats.org/spreadsheetml/2006/main" count="61" uniqueCount="31">
  <si>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product_id</t>
  </si>
  <si>
    <t>name</t>
  </si>
  <si>
    <t>price_per_kg</t>
  </si>
  <si>
    <t>Apple</t>
  </si>
  <si>
    <t>Banana</t>
  </si>
  <si>
    <t>Orange</t>
  </si>
  <si>
    <t>Watermelon</t>
  </si>
  <si>
    <t>Grapes</t>
  </si>
  <si>
    <t>Strawberry</t>
  </si>
  <si>
    <t>Peach</t>
  </si>
  <si>
    <t>Sum of revenue</t>
  </si>
  <si>
    <t>city</t>
  </si>
  <si>
    <t>month</t>
  </si>
  <si>
    <t>fruit</t>
  </si>
  <si>
    <t>Ohrid</t>
  </si>
  <si>
    <t>Bitola</t>
  </si>
  <si>
    <t>Grand Total</t>
  </si>
  <si>
    <t>7</t>
  </si>
  <si>
    <t>7 Total</t>
  </si>
  <si>
    <t>8</t>
  </si>
  <si>
    <t>8 Total</t>
  </si>
  <si>
    <t>9</t>
  </si>
  <si>
    <t>9 Total</t>
  </si>
  <si>
    <t>sale_id</t>
  </si>
  <si>
    <t>sale_date</t>
  </si>
  <si>
    <t>store_id</t>
  </si>
  <si>
    <t>quantity_kg</t>
  </si>
  <si>
    <t>revenue</t>
  </si>
  <si>
    <t>sale_size</t>
  </si>
  <si>
    <t>summary</t>
  </si>
  <si>
    <t>Watermelon Ohrid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</si>
</sst>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3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[fruit_shop - Copy.xlsx]Sheet2!PivotTable1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fruit and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Sheet2!$C$3:$C$4</c:f>
              <c:strCache>
                <c:ptCount val="1"/>
                <c:pt idx="0">
                  <c:v>Ohrid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Sheet2!$A$5:$B$29</c:f>
              <c:multiLvlStrCache>
                <c:ptCount val="21"/>
                <c:lvl>
                  <c:pt idx="0">
                    <c:v>Grapes</c:v>
                  </c:pt>
                  <c:pt idx="1">
                    <c:v>Orange</c:v>
                  </c:pt>
                  <c:pt idx="2">
                    <c:v>Apple</c:v>
                  </c:pt>
                  <c:pt idx="3">
                    <c:v>Watermelon</c:v>
                  </c:pt>
                  <c:pt idx="4">
                    <c:v>Strawberry</c:v>
                  </c:pt>
                  <c:pt idx="5">
                    <c:v>Peach</c:v>
                  </c:pt>
                  <c:pt idx="6">
                    <c:v>Banana</c:v>
                  </c:pt>
                  <c:pt idx="7">
                    <c:v>Orange</c:v>
                  </c:pt>
                  <c:pt idx="8">
                    <c:v>Strawberry</c:v>
                  </c:pt>
                  <c:pt idx="9">
                    <c:v>Apple</c:v>
                  </c:pt>
                  <c:pt idx="10">
                    <c:v>Grapes</c:v>
                  </c:pt>
                  <c:pt idx="11">
                    <c:v>Watermelon</c:v>
                  </c:pt>
                  <c:pt idx="12">
                    <c:v>Banana</c:v>
                  </c:pt>
                  <c:pt idx="13">
                    <c:v>Peach</c:v>
                  </c:pt>
                  <c:pt idx="14">
                    <c:v>Strawberry</c:v>
                  </c:pt>
                  <c:pt idx="15">
                    <c:v>Watermelon</c:v>
                  </c:pt>
                  <c:pt idx="16">
                    <c:v>Peach</c:v>
                  </c:pt>
                  <c:pt idx="17">
                    <c:v>Orange</c:v>
                  </c:pt>
                  <c:pt idx="18">
                    <c:v>Apple</c:v>
                  </c:pt>
                  <c:pt idx="19">
                    <c:v>Banana</c:v>
                  </c:pt>
                  <c:pt idx="20">
                    <c:v>Grapes</c:v>
                  </c:pt>
                </c:lvl>
                <c:lvl>
                  <c:pt idx="0">
                    <c:v>7</c:v>
                  </c:pt>
                  <c:pt idx="7">
                    <c:v>8</c:v>
                  </c:pt>
                  <c:pt idx="14">
                    <c:v>9</c:v>
                  </c:pt>
                </c:lvl>
              </c:multiLvlStrCache>
            </c:multiLvlStrRef>
          </c:cat>
          <c:val>
            <c:numRef>
              <c:f>Sheet2!$C$5:$C$29</c:f>
              <c:numCache>
                <c:formatCode>General</c:formatCode>
                <c:ptCount val="21"/>
                <c:pt idx="0">
                  <c:v>25828</c:v>
                </c:pt>
                <c:pt idx="1">
                  <c:v>37368</c:v>
                </c:pt>
                <c:pt idx="2">
                  <c:v>51666</c:v>
                </c:pt>
                <c:pt idx="3">
                  <c:v>77596</c:v>
                </c:pt>
                <c:pt idx="4">
                  <c:v>85866</c:v>
                </c:pt>
                <c:pt idx="5">
                  <c:v>95113</c:v>
                </c:pt>
                <c:pt idx="6">
                  <c:v>107010</c:v>
                </c:pt>
                <c:pt idx="7">
                  <c:v>35072</c:v>
                </c:pt>
                <c:pt idx="8">
                  <c:v>42548</c:v>
                </c:pt>
                <c:pt idx="9">
                  <c:v>61146</c:v>
                </c:pt>
                <c:pt idx="10">
                  <c:v>71555</c:v>
                </c:pt>
                <c:pt idx="11">
                  <c:v>100671</c:v>
                </c:pt>
                <c:pt idx="12">
                  <c:v>105948</c:v>
                </c:pt>
                <c:pt idx="13">
                  <c:v>126623</c:v>
                </c:pt>
                <c:pt idx="14">
                  <c:v>12606</c:v>
                </c:pt>
                <c:pt idx="15">
                  <c:v>20826</c:v>
                </c:pt>
                <c:pt idx="16">
                  <c:v>26245</c:v>
                </c:pt>
                <c:pt idx="17">
                  <c:v>31808</c:v>
                </c:pt>
                <c:pt idx="18">
                  <c:v>52314</c:v>
                </c:pt>
                <c:pt idx="19">
                  <c:v>67779</c:v>
                </c:pt>
                <c:pt idx="20">
                  <c:v>89210</c:v>
                </c:pt>
              </c:numCache>
            </c:numRef>
          </c:val>
        </c:ser>
        <c:ser>
          <c:idx val="1"/>
          <c:order val="1"/>
          <c:tx>
            <c:strRef>
              <c:f>Sheet2!$D$3:$D$4</c:f>
              <c:strCache>
                <c:ptCount val="1"/>
                <c:pt idx="0">
                  <c:v>Bitola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Sheet2!$A$5:$B$29</c:f>
              <c:multiLvlStrCache>
                <c:ptCount val="21"/>
                <c:lvl>
                  <c:pt idx="0">
                    <c:v>Grapes</c:v>
                  </c:pt>
                  <c:pt idx="1">
                    <c:v>Orange</c:v>
                  </c:pt>
                  <c:pt idx="2">
                    <c:v>Apple</c:v>
                  </c:pt>
                  <c:pt idx="3">
                    <c:v>Watermelon</c:v>
                  </c:pt>
                  <c:pt idx="4">
                    <c:v>Strawberry</c:v>
                  </c:pt>
                  <c:pt idx="5">
                    <c:v>Peach</c:v>
                  </c:pt>
                  <c:pt idx="6">
                    <c:v>Banana</c:v>
                  </c:pt>
                  <c:pt idx="7">
                    <c:v>Orange</c:v>
                  </c:pt>
                  <c:pt idx="8">
                    <c:v>Strawberry</c:v>
                  </c:pt>
                  <c:pt idx="9">
                    <c:v>Apple</c:v>
                  </c:pt>
                  <c:pt idx="10">
                    <c:v>Grapes</c:v>
                  </c:pt>
                  <c:pt idx="11">
                    <c:v>Watermelon</c:v>
                  </c:pt>
                  <c:pt idx="12">
                    <c:v>Banana</c:v>
                  </c:pt>
                  <c:pt idx="13">
                    <c:v>Peach</c:v>
                  </c:pt>
                  <c:pt idx="14">
                    <c:v>Strawberry</c:v>
                  </c:pt>
                  <c:pt idx="15">
                    <c:v>Watermelon</c:v>
                  </c:pt>
                  <c:pt idx="16">
                    <c:v>Peach</c:v>
                  </c:pt>
                  <c:pt idx="17">
                    <c:v>Orange</c:v>
                  </c:pt>
                  <c:pt idx="18">
                    <c:v>Apple</c:v>
                  </c:pt>
                  <c:pt idx="19">
                    <c:v>Banana</c:v>
                  </c:pt>
                  <c:pt idx="20">
                    <c:v>Grapes</c:v>
                  </c:pt>
                </c:lvl>
                <c:lvl>
                  <c:pt idx="0">
                    <c:v>7</c:v>
                  </c:pt>
                  <c:pt idx="7">
                    <c:v>8</c:v>
                  </c:pt>
                  <c:pt idx="14">
                    <c:v>9</c:v>
                  </c:pt>
                </c:lvl>
              </c:multiLvlStrCache>
            </c:multiLvlStrRef>
          </c:cat>
          <c:val>
            <c:numRef>
              <c:f>Sheet2!$D$5:$D$29</c:f>
              <c:numCache>
                <c:formatCode>General</c:formatCode>
                <c:ptCount val="21"/>
                <c:pt idx="0">
                  <c:v>18557</c:v>
                </c:pt>
                <c:pt idx="1">
                  <c:v>26712</c:v>
                </c:pt>
                <c:pt idx="2">
                  <c:v>36354</c:v>
                </c:pt>
                <c:pt idx="3">
                  <c:v>57801</c:v>
                </c:pt>
                <c:pt idx="4">
                  <c:v>60786</c:v>
                </c:pt>
                <c:pt idx="5">
                  <c:v>67326</c:v>
                </c:pt>
                <c:pt idx="6">
                  <c:v>79272</c:v>
                </c:pt>
                <c:pt idx="7">
                  <c:v>23296</c:v>
                </c:pt>
                <c:pt idx="8">
                  <c:v>30074</c:v>
                </c:pt>
                <c:pt idx="9">
                  <c:v>40680</c:v>
                </c:pt>
                <c:pt idx="10">
                  <c:v>53075</c:v>
                </c:pt>
                <c:pt idx="11">
                  <c:v>66817</c:v>
                </c:pt>
                <c:pt idx="12">
                  <c:v>70614</c:v>
                </c:pt>
                <c:pt idx="13">
                  <c:v>79289</c:v>
                </c:pt>
                <c:pt idx="14">
                  <c:v>13662</c:v>
                </c:pt>
                <c:pt idx="15">
                  <c:v>23972</c:v>
                </c:pt>
                <c:pt idx="16">
                  <c:v>30275</c:v>
                </c:pt>
                <c:pt idx="17">
                  <c:v>36360</c:v>
                </c:pt>
                <c:pt idx="18">
                  <c:v>65388</c:v>
                </c:pt>
                <c:pt idx="19">
                  <c:v>71451</c:v>
                </c:pt>
                <c:pt idx="20">
                  <c:v>97207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21064"/>
        <c:axId val="24976904"/>
      </c:barChart>
      <c:catAx>
        <c:axId val="2462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976904"/>
        <c:crosses val="autoZero"/>
        <c:auto val="1"/>
        <c:lblAlgn val="ctr"/>
        <c:lblOffset val="100"/>
        <c:noMultiLvlLbl val="0"/>
      </c:catAx>
      <c:valAx>
        <c:axId val="249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2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15d85d-c5e5-4987-b17b-c283c82c7b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238125</xdr:colOff>
      <xdr:row>0</xdr:row>
      <xdr:rowOff>57150</xdr:rowOff>
    </xdr:from>
    <xdr:to>
      <xdr:col>15</xdr:col>
      <xdr:colOff>352425</xdr:colOff>
      <xdr:row>18</xdr:row>
      <xdr:rowOff>95250</xdr:rowOff>
    </xdr:to>
    <xdr:graphicFrame>
      <xdr:nvGraphicFramePr>
        <xdr:cNvPr id="2" name="Chart 1"/>
        <xdr:cNvGraphicFramePr/>
      </xdr:nvGraphicFramePr>
      <xdr:xfrm>
        <a:off x="5351780" y="57150"/>
        <a:ext cx="5052060" cy="3329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314.0952835648" refreshedBy="Excel Services" recordCount="1288">
  <cacheSource type="worksheet">
    <worksheetSource name="sales"/>
  </cacheSource>
  <cacheFields count="10">
    <cacheField name="sale_id" numFmtId="0"/>
    <cacheField name="sale_date" numFmtId="176"/>
    <cacheField name="product_id" numFmtId="0"/>
    <cacheField name="store_id" numFmtId="0"/>
    <cacheField name="quantity_kg" numFmtId="0"/>
    <cacheField name="revenue" numFmtId="0"/>
    <cacheField name="fruit" numFmtId="0">
      <sharedItems count="7">
        <s v="Apple"/>
        <s v="Banana"/>
        <s v="Orange"/>
        <s v="Watermelon"/>
        <s v="Grapes"/>
        <s v="Strawberry"/>
        <s v="Peach"/>
      </sharedItems>
    </cacheField>
    <cacheField name="city" numFmtId="0">
      <sharedItems count="2">
        <s v="Bitola"/>
        <s v="Ohrid"/>
      </sharedItems>
    </cacheField>
    <cacheField name="sale_size" numFmtId="0"/>
    <cacheField name="month" numFmtId="0">
      <sharedItems count="3">
        <s v="7"/>
        <s v="8"/>
        <s v="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8">
  <r>
    <n v="1"/>
    <d v="2026-07-01T00:00:00"/>
    <n v="1"/>
    <n v="1"/>
    <n v="17.5"/>
    <n v="1050"/>
    <x v="0"/>
    <x v="0"/>
    <s v="NORMAL"/>
    <x v="0"/>
  </r>
  <r>
    <n v="2"/>
    <d v="2026-07-01T00:00:00"/>
    <n v="1"/>
    <n v="2"/>
    <n v="24.3"/>
    <n v="1458"/>
    <x v="0"/>
    <x v="1"/>
    <s v="NORMAL"/>
    <x v="0"/>
  </r>
  <r>
    <n v="3"/>
    <d v="2026-07-01T00:00:00"/>
    <n v="2"/>
    <n v="1"/>
    <n v="24.4"/>
    <n v="2196"/>
    <x v="1"/>
    <x v="0"/>
    <s v="NORMAL"/>
    <x v="0"/>
  </r>
  <r>
    <n v="4"/>
    <d v="2026-07-01T00:00:00"/>
    <n v="2"/>
    <n v="2"/>
    <n v="39.9"/>
    <n v="3591"/>
    <x v="1"/>
    <x v="1"/>
    <s v="NORMAL"/>
    <x v="0"/>
  </r>
  <r>
    <n v="5"/>
    <d v="2026-07-01T00:00:00"/>
    <n v="3"/>
    <n v="1"/>
    <n v="9.6999999999999993"/>
    <n v="776"/>
    <x v="2"/>
    <x v="0"/>
    <s v="NORMAL"/>
    <x v="0"/>
  </r>
  <r>
    <n v="6"/>
    <d v="2026-07-01T00:00:00"/>
    <n v="3"/>
    <n v="2"/>
    <n v="9.8000000000000007"/>
    <n v="784"/>
    <x v="2"/>
    <x v="1"/>
    <s v="NORMAL"/>
    <x v="0"/>
  </r>
  <r>
    <n v="7"/>
    <d v="2026-07-01T00:00:00"/>
    <n v="4"/>
    <n v="1"/>
    <n v="74.7"/>
    <n v="1868"/>
    <x v="3"/>
    <x v="0"/>
    <s v="BIG"/>
    <x v="0"/>
  </r>
  <r>
    <n v="8"/>
    <d v="2026-07-01T00:00:00"/>
    <n v="4"/>
    <n v="2"/>
    <n v="92.8"/>
    <n v="2320"/>
    <x v="3"/>
    <x v="1"/>
    <s v="BIG"/>
    <x v="0"/>
  </r>
  <r>
    <n v="9"/>
    <d v="2026-07-01T00:00:00"/>
    <n v="5"/>
    <n v="1"/>
    <n v="4.8"/>
    <n v="528"/>
    <x v="4"/>
    <x v="0"/>
    <s v="NORMAL"/>
    <x v="0"/>
  </r>
  <r>
    <n v="10"/>
    <d v="2026-07-01T00:00:00"/>
    <n v="5"/>
    <n v="2"/>
    <n v="7.2"/>
    <n v="792"/>
    <x v="4"/>
    <x v="1"/>
    <s v="NORMAL"/>
    <x v="0"/>
  </r>
  <r>
    <n v="11"/>
    <d v="2026-07-01T00:00:00"/>
    <n v="6"/>
    <n v="1"/>
    <n v="8.4"/>
    <n v="1848"/>
    <x v="5"/>
    <x v="0"/>
    <s v="NORMAL"/>
    <x v="0"/>
  </r>
  <r>
    <n v="12"/>
    <d v="2026-07-01T00:00:00"/>
    <n v="6"/>
    <n v="2"/>
    <n v="13.8"/>
    <n v="3036"/>
    <x v="5"/>
    <x v="1"/>
    <s v="NORMAL"/>
    <x v="0"/>
  </r>
  <r>
    <n v="13"/>
    <d v="2026-07-01T00:00:00"/>
    <n v="7"/>
    <n v="1"/>
    <n v="24.9"/>
    <n v="2366"/>
    <x v="6"/>
    <x v="0"/>
    <s v="NORMAL"/>
    <x v="0"/>
  </r>
  <r>
    <n v="14"/>
    <d v="2026-07-01T00:00:00"/>
    <n v="7"/>
    <n v="2"/>
    <n v="31.5"/>
    <n v="2992"/>
    <x v="6"/>
    <x v="1"/>
    <s v="NORMAL"/>
    <x v="0"/>
  </r>
  <r>
    <n v="15"/>
    <d v="2026-07-02T00:00:00"/>
    <n v="1"/>
    <n v="1"/>
    <n v="15.3"/>
    <n v="918"/>
    <x v="0"/>
    <x v="0"/>
    <s v="NORMAL"/>
    <x v="0"/>
  </r>
  <r>
    <n v="16"/>
    <d v="2026-07-02T00:00:00"/>
    <n v="1"/>
    <n v="2"/>
    <n v="20.100000000000001"/>
    <n v="1206"/>
    <x v="0"/>
    <x v="1"/>
    <s v="NORMAL"/>
    <x v="0"/>
  </r>
  <r>
    <n v="17"/>
    <d v="2026-07-02T00:00:00"/>
    <n v="2"/>
    <n v="1"/>
    <n v="26.2"/>
    <n v="2358"/>
    <x v="1"/>
    <x v="0"/>
    <s v="NORMAL"/>
    <x v="0"/>
  </r>
  <r>
    <n v="18"/>
    <d v="2026-07-02T00:00:00"/>
    <n v="2"/>
    <n v="2"/>
    <n v="44.2"/>
    <n v="3978"/>
    <x v="1"/>
    <x v="1"/>
    <s v="NORMAL"/>
    <x v="0"/>
  </r>
  <r>
    <n v="19"/>
    <d v="2026-07-02T00:00:00"/>
    <n v="3"/>
    <n v="1"/>
    <n v="10.1"/>
    <n v="808"/>
    <x v="2"/>
    <x v="0"/>
    <s v="NORMAL"/>
    <x v="0"/>
  </r>
  <r>
    <n v="20"/>
    <d v="2026-07-02T00:00:00"/>
    <n v="3"/>
    <n v="2"/>
    <n v="13.7"/>
    <n v="1096"/>
    <x v="2"/>
    <x v="1"/>
    <s v="NORMAL"/>
    <x v="0"/>
  </r>
  <r>
    <n v="21"/>
    <d v="2026-07-02T00:00:00"/>
    <n v="4"/>
    <n v="1"/>
    <n v="77.400000000000006"/>
    <n v="1935"/>
    <x v="3"/>
    <x v="0"/>
    <s v="BIG"/>
    <x v="0"/>
  </r>
  <r>
    <n v="22"/>
    <d v="2026-07-02T00:00:00"/>
    <n v="4"/>
    <n v="2"/>
    <n v="69.5"/>
    <n v="1738"/>
    <x v="3"/>
    <x v="1"/>
    <s v="BIG"/>
    <x v="0"/>
  </r>
  <r>
    <n v="23"/>
    <d v="2026-07-02T00:00:00"/>
    <n v="5"/>
    <n v="1"/>
    <n v="4.7"/>
    <n v="517"/>
    <x v="4"/>
    <x v="0"/>
    <s v="NORMAL"/>
    <x v="0"/>
  </r>
  <r>
    <n v="24"/>
    <d v="2026-07-02T00:00:00"/>
    <n v="5"/>
    <n v="2"/>
    <n v="7.7"/>
    <n v="847"/>
    <x v="4"/>
    <x v="1"/>
    <s v="NORMAL"/>
    <x v="0"/>
  </r>
  <r>
    <n v="25"/>
    <d v="2026-07-02T00:00:00"/>
    <n v="6"/>
    <n v="1"/>
    <n v="9.4"/>
    <n v="2068"/>
    <x v="5"/>
    <x v="0"/>
    <s v="NORMAL"/>
    <x v="0"/>
  </r>
  <r>
    <n v="26"/>
    <d v="2026-07-02T00:00:00"/>
    <n v="6"/>
    <n v="2"/>
    <n v="10.7"/>
    <n v="2354"/>
    <x v="5"/>
    <x v="1"/>
    <s v="NORMAL"/>
    <x v="0"/>
  </r>
  <r>
    <n v="27"/>
    <d v="2026-07-02T00:00:00"/>
    <n v="7"/>
    <n v="1"/>
    <n v="23.7"/>
    <n v="2252"/>
    <x v="6"/>
    <x v="0"/>
    <s v="NORMAL"/>
    <x v="0"/>
  </r>
  <r>
    <n v="28"/>
    <d v="2026-07-02T00:00:00"/>
    <n v="7"/>
    <n v="2"/>
    <n v="32.299999999999997"/>
    <n v="3068"/>
    <x v="6"/>
    <x v="1"/>
    <s v="NORMAL"/>
    <x v="0"/>
  </r>
  <r>
    <n v="29"/>
    <d v="2026-07-03T00:00:00"/>
    <n v="1"/>
    <n v="1"/>
    <n v="20.8"/>
    <n v="1248"/>
    <x v="0"/>
    <x v="0"/>
    <s v="NORMAL"/>
    <x v="0"/>
  </r>
  <r>
    <n v="30"/>
    <d v="2026-07-03T00:00:00"/>
    <n v="1"/>
    <n v="2"/>
    <n v="19.600000000000001"/>
    <n v="1176"/>
    <x v="0"/>
    <x v="1"/>
    <s v="NORMAL"/>
    <x v="0"/>
  </r>
  <r>
    <n v="31"/>
    <d v="2026-07-03T00:00:00"/>
    <n v="2"/>
    <n v="1"/>
    <n v="27.8"/>
    <n v="2502"/>
    <x v="1"/>
    <x v="0"/>
    <s v="NORMAL"/>
    <x v="0"/>
  </r>
  <r>
    <n v="32"/>
    <d v="2026-07-03T00:00:00"/>
    <n v="2"/>
    <n v="2"/>
    <n v="24.4"/>
    <n v="2196"/>
    <x v="1"/>
    <x v="1"/>
    <s v="NORMAL"/>
    <x v="0"/>
  </r>
  <r>
    <n v="33"/>
    <d v="2026-07-03T00:00:00"/>
    <n v="3"/>
    <n v="1"/>
    <n v="4.8"/>
    <n v="384"/>
    <x v="2"/>
    <x v="0"/>
    <s v="NORMAL"/>
    <x v="0"/>
  </r>
  <r>
    <n v="34"/>
    <d v="2026-07-03T00:00:00"/>
    <n v="3"/>
    <n v="2"/>
    <n v="12.3"/>
    <n v="984"/>
    <x v="2"/>
    <x v="1"/>
    <s v="NORMAL"/>
    <x v="0"/>
  </r>
  <r>
    <n v="35"/>
    <d v="2026-07-03T00:00:00"/>
    <n v="4"/>
    <n v="1"/>
    <n v="57.2"/>
    <n v="1430"/>
    <x v="3"/>
    <x v="0"/>
    <s v="BIG"/>
    <x v="0"/>
  </r>
  <r>
    <n v="36"/>
    <d v="2026-07-03T00:00:00"/>
    <n v="4"/>
    <n v="2"/>
    <n v="115.2"/>
    <n v="2880"/>
    <x v="3"/>
    <x v="1"/>
    <s v="BIG"/>
    <x v="0"/>
  </r>
  <r>
    <n v="37"/>
    <d v="2026-07-03T00:00:00"/>
    <n v="5"/>
    <n v="1"/>
    <n v="5.7"/>
    <n v="627"/>
    <x v="4"/>
    <x v="0"/>
    <s v="NORMAL"/>
    <x v="0"/>
  </r>
  <r>
    <n v="38"/>
    <d v="2026-07-03T00:00:00"/>
    <n v="5"/>
    <n v="2"/>
    <n v="5.3"/>
    <n v="583"/>
    <x v="4"/>
    <x v="1"/>
    <s v="NORMAL"/>
    <x v="0"/>
  </r>
  <r>
    <n v="39"/>
    <d v="2026-07-03T00:00:00"/>
    <n v="6"/>
    <n v="1"/>
    <n v="9.4"/>
    <n v="2068"/>
    <x v="5"/>
    <x v="0"/>
    <s v="NORMAL"/>
    <x v="0"/>
  </r>
  <r>
    <n v="40"/>
    <d v="2026-07-03T00:00:00"/>
    <n v="6"/>
    <n v="2"/>
    <n v="9"/>
    <n v="1980"/>
    <x v="5"/>
    <x v="1"/>
    <s v="NORMAL"/>
    <x v="0"/>
  </r>
  <r>
    <n v="41"/>
    <d v="2026-07-03T00:00:00"/>
    <n v="7"/>
    <n v="1"/>
    <n v="21.6"/>
    <n v="2052"/>
    <x v="6"/>
    <x v="0"/>
    <s v="NORMAL"/>
    <x v="0"/>
  </r>
  <r>
    <n v="42"/>
    <d v="2026-07-03T00:00:00"/>
    <n v="7"/>
    <n v="2"/>
    <n v="29"/>
    <n v="2755"/>
    <x v="6"/>
    <x v="1"/>
    <s v="NORMAL"/>
    <x v="0"/>
  </r>
  <r>
    <n v="43"/>
    <d v="2026-07-04T00:00:00"/>
    <n v="1"/>
    <n v="1"/>
    <n v="23"/>
    <n v="1380"/>
    <x v="0"/>
    <x v="0"/>
    <s v="NORMAL"/>
    <x v="0"/>
  </r>
  <r>
    <n v="44"/>
    <d v="2026-07-04T00:00:00"/>
    <n v="1"/>
    <n v="2"/>
    <n v="36.700000000000003"/>
    <n v="2202"/>
    <x v="0"/>
    <x v="1"/>
    <s v="NORMAL"/>
    <x v="0"/>
  </r>
  <r>
    <n v="45"/>
    <d v="2026-07-04T00:00:00"/>
    <n v="2"/>
    <n v="1"/>
    <n v="35.200000000000003"/>
    <n v="3168"/>
    <x v="1"/>
    <x v="0"/>
    <s v="NORMAL"/>
    <x v="0"/>
  </r>
  <r>
    <n v="46"/>
    <d v="2026-07-04T00:00:00"/>
    <n v="2"/>
    <n v="2"/>
    <n v="46.8"/>
    <n v="4212"/>
    <x v="1"/>
    <x v="1"/>
    <s v="NORMAL"/>
    <x v="0"/>
  </r>
  <r>
    <n v="47"/>
    <d v="2026-07-04T00:00:00"/>
    <n v="3"/>
    <n v="1"/>
    <n v="14.1"/>
    <n v="1128"/>
    <x v="2"/>
    <x v="0"/>
    <s v="NORMAL"/>
    <x v="0"/>
  </r>
  <r>
    <n v="48"/>
    <d v="2026-07-04T00:00:00"/>
    <n v="3"/>
    <n v="2"/>
    <n v="19.2"/>
    <n v="1536"/>
    <x v="2"/>
    <x v="1"/>
    <s v="NORMAL"/>
    <x v="0"/>
  </r>
  <r>
    <n v="49"/>
    <d v="2026-07-04T00:00:00"/>
    <n v="4"/>
    <n v="1"/>
    <n v="76.5"/>
    <n v="1912"/>
    <x v="3"/>
    <x v="0"/>
    <s v="BIG"/>
    <x v="0"/>
  </r>
  <r>
    <n v="50"/>
    <d v="2026-07-04T00:00:00"/>
    <n v="4"/>
    <n v="2"/>
    <n v="104.9"/>
    <n v="2622"/>
    <x v="3"/>
    <x v="1"/>
    <s v="BIG"/>
    <x v="0"/>
  </r>
  <r>
    <n v="51"/>
    <d v="2026-07-04T00:00:00"/>
    <n v="5"/>
    <n v="1"/>
    <n v="5.7"/>
    <n v="627"/>
    <x v="4"/>
    <x v="0"/>
    <s v="NORMAL"/>
    <x v="0"/>
  </r>
  <r>
    <n v="52"/>
    <d v="2026-07-04T00:00:00"/>
    <n v="5"/>
    <n v="2"/>
    <n v="9.6"/>
    <n v="1056"/>
    <x v="4"/>
    <x v="1"/>
    <s v="NORMAL"/>
    <x v="0"/>
  </r>
  <r>
    <n v="53"/>
    <d v="2026-07-04T00:00:00"/>
    <n v="6"/>
    <n v="1"/>
    <n v="9.5"/>
    <n v="2090"/>
    <x v="5"/>
    <x v="0"/>
    <s v="NORMAL"/>
    <x v="0"/>
  </r>
  <r>
    <n v="54"/>
    <d v="2026-07-04T00:00:00"/>
    <n v="6"/>
    <n v="2"/>
    <n v="20.5"/>
    <n v="4510"/>
    <x v="5"/>
    <x v="1"/>
    <s v="NORMAL"/>
    <x v="0"/>
  </r>
  <r>
    <n v="55"/>
    <d v="2026-07-04T00:00:00"/>
    <n v="7"/>
    <n v="1"/>
    <n v="23"/>
    <n v="2185"/>
    <x v="6"/>
    <x v="0"/>
    <s v="NORMAL"/>
    <x v="0"/>
  </r>
  <r>
    <n v="56"/>
    <d v="2026-07-04T00:00:00"/>
    <n v="7"/>
    <n v="2"/>
    <n v="30"/>
    <n v="2850"/>
    <x v="6"/>
    <x v="1"/>
    <s v="NORMAL"/>
    <x v="0"/>
  </r>
  <r>
    <n v="57"/>
    <d v="2026-07-05T00:00:00"/>
    <n v="1"/>
    <n v="1"/>
    <n v="26"/>
    <n v="1560"/>
    <x v="0"/>
    <x v="0"/>
    <s v="NORMAL"/>
    <x v="0"/>
  </r>
  <r>
    <n v="58"/>
    <d v="2026-07-05T00:00:00"/>
    <n v="1"/>
    <n v="2"/>
    <n v="40.5"/>
    <n v="2430"/>
    <x v="0"/>
    <x v="1"/>
    <s v="NORMAL"/>
    <x v="0"/>
  </r>
  <r>
    <n v="59"/>
    <d v="2026-07-05T00:00:00"/>
    <n v="2"/>
    <n v="1"/>
    <n v="34.4"/>
    <n v="3096"/>
    <x v="1"/>
    <x v="0"/>
    <s v="NORMAL"/>
    <x v="0"/>
  </r>
  <r>
    <n v="60"/>
    <d v="2026-07-05T00:00:00"/>
    <n v="2"/>
    <n v="2"/>
    <n v="51.1"/>
    <n v="4599"/>
    <x v="1"/>
    <x v="1"/>
    <s v="BIG"/>
    <x v="0"/>
  </r>
  <r>
    <n v="61"/>
    <d v="2026-07-05T00:00:00"/>
    <n v="3"/>
    <n v="1"/>
    <n v="16.100000000000001"/>
    <n v="1288"/>
    <x v="2"/>
    <x v="0"/>
    <s v="NORMAL"/>
    <x v="0"/>
  </r>
  <r>
    <n v="62"/>
    <d v="2026-07-05T00:00:00"/>
    <n v="3"/>
    <n v="2"/>
    <n v="17.2"/>
    <n v="1376"/>
    <x v="2"/>
    <x v="1"/>
    <s v="NORMAL"/>
    <x v="0"/>
  </r>
  <r>
    <n v="63"/>
    <d v="2026-07-05T00:00:00"/>
    <n v="4"/>
    <n v="1"/>
    <n v="62.6"/>
    <n v="1565"/>
    <x v="3"/>
    <x v="0"/>
    <s v="BIG"/>
    <x v="0"/>
  </r>
  <r>
    <n v="64"/>
    <d v="2026-07-05T00:00:00"/>
    <n v="4"/>
    <n v="2"/>
    <n v="109.5"/>
    <n v="2738"/>
    <x v="3"/>
    <x v="1"/>
    <s v="BIG"/>
    <x v="0"/>
  </r>
  <r>
    <n v="65"/>
    <d v="2026-07-05T00:00:00"/>
    <n v="5"/>
    <n v="1"/>
    <n v="7.4"/>
    <n v="814"/>
    <x v="4"/>
    <x v="0"/>
    <s v="NORMAL"/>
    <x v="0"/>
  </r>
  <r>
    <n v="66"/>
    <d v="2026-07-05T00:00:00"/>
    <n v="5"/>
    <n v="2"/>
    <n v="6.2"/>
    <n v="682"/>
    <x v="4"/>
    <x v="1"/>
    <s v="NORMAL"/>
    <x v="0"/>
  </r>
  <r>
    <n v="67"/>
    <d v="2026-07-05T00:00:00"/>
    <n v="6"/>
    <n v="1"/>
    <n v="10.1"/>
    <n v="2222"/>
    <x v="5"/>
    <x v="0"/>
    <s v="NORMAL"/>
    <x v="0"/>
  </r>
  <r>
    <n v="68"/>
    <d v="2026-07-05T00:00:00"/>
    <n v="6"/>
    <n v="2"/>
    <n v="14.7"/>
    <n v="3234"/>
    <x v="5"/>
    <x v="1"/>
    <s v="NORMAL"/>
    <x v="0"/>
  </r>
  <r>
    <n v="69"/>
    <d v="2026-07-05T00:00:00"/>
    <n v="7"/>
    <n v="1"/>
    <n v="25.8"/>
    <n v="2451"/>
    <x v="6"/>
    <x v="0"/>
    <s v="NORMAL"/>
    <x v="0"/>
  </r>
  <r>
    <n v="70"/>
    <d v="2026-07-05T00:00:00"/>
    <n v="7"/>
    <n v="2"/>
    <n v="44.1"/>
    <n v="4190"/>
    <x v="6"/>
    <x v="1"/>
    <s v="NORMAL"/>
    <x v="0"/>
  </r>
  <r>
    <n v="71"/>
    <d v="2026-07-06T00:00:00"/>
    <n v="1"/>
    <n v="1"/>
    <n v="20.100000000000001"/>
    <n v="1206"/>
    <x v="0"/>
    <x v="0"/>
    <s v="NORMAL"/>
    <x v="0"/>
  </r>
  <r>
    <n v="72"/>
    <d v="2026-07-06T00:00:00"/>
    <n v="1"/>
    <n v="2"/>
    <n v="36.9"/>
    <n v="2214"/>
    <x v="0"/>
    <x v="1"/>
    <s v="NORMAL"/>
    <x v="0"/>
  </r>
  <r>
    <n v="73"/>
    <d v="2026-07-06T00:00:00"/>
    <n v="2"/>
    <n v="1"/>
    <n v="28.1"/>
    <n v="2529"/>
    <x v="1"/>
    <x v="0"/>
    <s v="NORMAL"/>
    <x v="0"/>
  </r>
  <r>
    <n v="74"/>
    <d v="2026-07-06T00:00:00"/>
    <n v="2"/>
    <n v="2"/>
    <n v="30.7"/>
    <n v="2763"/>
    <x v="1"/>
    <x v="1"/>
    <s v="NORMAL"/>
    <x v="0"/>
  </r>
  <r>
    <n v="75"/>
    <d v="2026-07-06T00:00:00"/>
    <n v="3"/>
    <n v="1"/>
    <n v="8.9"/>
    <n v="712"/>
    <x v="2"/>
    <x v="0"/>
    <s v="NORMAL"/>
    <x v="0"/>
  </r>
  <r>
    <n v="76"/>
    <d v="2026-07-06T00:00:00"/>
    <n v="3"/>
    <n v="2"/>
    <n v="11.7"/>
    <n v="936"/>
    <x v="2"/>
    <x v="1"/>
    <s v="NORMAL"/>
    <x v="0"/>
  </r>
  <r>
    <n v="77"/>
    <d v="2026-07-06T00:00:00"/>
    <n v="4"/>
    <n v="1"/>
    <n v="83.3"/>
    <n v="2082"/>
    <x v="3"/>
    <x v="0"/>
    <s v="BIG"/>
    <x v="0"/>
  </r>
  <r>
    <n v="78"/>
    <d v="2026-07-06T00:00:00"/>
    <n v="4"/>
    <n v="2"/>
    <n v="86.9"/>
    <n v="2172"/>
    <x v="3"/>
    <x v="1"/>
    <s v="BIG"/>
    <x v="0"/>
  </r>
  <r>
    <n v="79"/>
    <d v="2026-07-06T00:00:00"/>
    <n v="5"/>
    <n v="1"/>
    <n v="4.9000000000000004"/>
    <n v="539"/>
    <x v="4"/>
    <x v="0"/>
    <s v="NORMAL"/>
    <x v="0"/>
  </r>
  <r>
    <n v="80"/>
    <d v="2026-07-06T00:00:00"/>
    <n v="5"/>
    <n v="2"/>
    <n v="8"/>
    <n v="880"/>
    <x v="4"/>
    <x v="1"/>
    <s v="NORMAL"/>
    <x v="0"/>
  </r>
  <r>
    <n v="81"/>
    <d v="2026-07-06T00:00:00"/>
    <n v="6"/>
    <n v="1"/>
    <n v="6.8"/>
    <n v="1496"/>
    <x v="5"/>
    <x v="0"/>
    <s v="NORMAL"/>
    <x v="0"/>
  </r>
  <r>
    <n v="82"/>
    <d v="2026-07-06T00:00:00"/>
    <n v="6"/>
    <n v="2"/>
    <n v="10.5"/>
    <n v="2310"/>
    <x v="5"/>
    <x v="1"/>
    <s v="NORMAL"/>
    <x v="0"/>
  </r>
  <r>
    <n v="83"/>
    <d v="2026-07-06T00:00:00"/>
    <n v="7"/>
    <n v="1"/>
    <n v="13.9"/>
    <n v="1320"/>
    <x v="6"/>
    <x v="0"/>
    <s v="NORMAL"/>
    <x v="0"/>
  </r>
  <r>
    <n v="84"/>
    <d v="2026-07-06T00:00:00"/>
    <n v="7"/>
    <n v="2"/>
    <n v="24.1"/>
    <n v="2290"/>
    <x v="6"/>
    <x v="1"/>
    <s v="NORMAL"/>
    <x v="0"/>
  </r>
  <r>
    <n v="85"/>
    <d v="2026-07-07T00:00:00"/>
    <n v="1"/>
    <n v="1"/>
    <n v="16"/>
    <n v="960"/>
    <x v="0"/>
    <x v="0"/>
    <s v="NORMAL"/>
    <x v="0"/>
  </r>
  <r>
    <n v="86"/>
    <d v="2026-07-07T00:00:00"/>
    <n v="1"/>
    <n v="2"/>
    <n v="27.3"/>
    <n v="1638"/>
    <x v="0"/>
    <x v="1"/>
    <s v="NORMAL"/>
    <x v="0"/>
  </r>
  <r>
    <n v="87"/>
    <d v="2026-07-07T00:00:00"/>
    <n v="2"/>
    <n v="1"/>
    <n v="31"/>
    <n v="2790"/>
    <x v="1"/>
    <x v="0"/>
    <s v="NORMAL"/>
    <x v="0"/>
  </r>
  <r>
    <n v="88"/>
    <d v="2026-07-07T00:00:00"/>
    <n v="2"/>
    <n v="2"/>
    <n v="34.9"/>
    <n v="3141"/>
    <x v="1"/>
    <x v="1"/>
    <s v="NORMAL"/>
    <x v="0"/>
  </r>
  <r>
    <n v="89"/>
    <d v="2026-07-07T00:00:00"/>
    <n v="3"/>
    <n v="1"/>
    <n v="10.5"/>
    <n v="840"/>
    <x v="2"/>
    <x v="0"/>
    <s v="NORMAL"/>
    <x v="0"/>
  </r>
  <r>
    <n v="90"/>
    <d v="2026-07-07T00:00:00"/>
    <n v="3"/>
    <n v="2"/>
    <n v="14.5"/>
    <n v="1160"/>
    <x v="2"/>
    <x v="1"/>
    <s v="NORMAL"/>
    <x v="0"/>
  </r>
  <r>
    <n v="91"/>
    <d v="2026-07-07T00:00:00"/>
    <n v="4"/>
    <n v="1"/>
    <n v="85.2"/>
    <n v="2130"/>
    <x v="3"/>
    <x v="0"/>
    <s v="BIG"/>
    <x v="0"/>
  </r>
  <r>
    <n v="92"/>
    <d v="2026-07-07T00:00:00"/>
    <n v="4"/>
    <n v="2"/>
    <n v="115.5"/>
    <n v="2888"/>
    <x v="3"/>
    <x v="1"/>
    <s v="BIG"/>
    <x v="0"/>
  </r>
  <r>
    <n v="93"/>
    <d v="2026-07-07T00:00:00"/>
    <n v="5"/>
    <n v="1"/>
    <n v="5.3"/>
    <n v="583"/>
    <x v="4"/>
    <x v="0"/>
    <s v="NORMAL"/>
    <x v="0"/>
  </r>
  <r>
    <n v="94"/>
    <d v="2026-07-07T00:00:00"/>
    <n v="5"/>
    <n v="2"/>
    <n v="5.6"/>
    <n v="616"/>
    <x v="4"/>
    <x v="1"/>
    <s v="NORMAL"/>
    <x v="0"/>
  </r>
  <r>
    <n v="95"/>
    <d v="2026-07-07T00:00:00"/>
    <n v="6"/>
    <n v="1"/>
    <n v="9.4"/>
    <n v="2068"/>
    <x v="5"/>
    <x v="0"/>
    <s v="NORMAL"/>
    <x v="0"/>
  </r>
  <r>
    <n v="96"/>
    <d v="2026-07-07T00:00:00"/>
    <n v="6"/>
    <n v="2"/>
    <n v="12.1"/>
    <n v="2662"/>
    <x v="5"/>
    <x v="1"/>
    <s v="NORMAL"/>
    <x v="0"/>
  </r>
  <r>
    <n v="97"/>
    <d v="2026-07-07T00:00:00"/>
    <n v="7"/>
    <n v="1"/>
    <n v="27.4"/>
    <n v="2603"/>
    <x v="6"/>
    <x v="0"/>
    <s v="NORMAL"/>
    <x v="0"/>
  </r>
  <r>
    <n v="98"/>
    <d v="2026-07-07T00:00:00"/>
    <n v="7"/>
    <n v="2"/>
    <n v="30.6"/>
    <n v="2907"/>
    <x v="6"/>
    <x v="1"/>
    <s v="NORMAL"/>
    <x v="0"/>
  </r>
  <r>
    <n v="99"/>
    <d v="2026-07-08T00:00:00"/>
    <n v="1"/>
    <n v="1"/>
    <n v="25"/>
    <n v="1500"/>
    <x v="0"/>
    <x v="0"/>
    <s v="NORMAL"/>
    <x v="0"/>
  </r>
  <r>
    <n v="100"/>
    <d v="2026-07-08T00:00:00"/>
    <n v="1"/>
    <n v="2"/>
    <n v="23.4"/>
    <n v="1404"/>
    <x v="0"/>
    <x v="1"/>
    <s v="NORMAL"/>
    <x v="0"/>
  </r>
  <r>
    <n v="101"/>
    <d v="2026-07-08T00:00:00"/>
    <n v="2"/>
    <n v="1"/>
    <n v="33"/>
    <n v="2970"/>
    <x v="1"/>
    <x v="0"/>
    <s v="NORMAL"/>
    <x v="0"/>
  </r>
  <r>
    <n v="102"/>
    <d v="2026-07-08T00:00:00"/>
    <n v="2"/>
    <n v="2"/>
    <n v="35.799999999999997"/>
    <n v="3222"/>
    <x v="1"/>
    <x v="1"/>
    <s v="NORMAL"/>
    <x v="0"/>
  </r>
  <r>
    <n v="103"/>
    <d v="2026-07-08T00:00:00"/>
    <n v="3"/>
    <n v="1"/>
    <n v="9"/>
    <n v="720"/>
    <x v="2"/>
    <x v="0"/>
    <s v="NORMAL"/>
    <x v="0"/>
  </r>
  <r>
    <n v="104"/>
    <d v="2026-07-08T00:00:00"/>
    <n v="3"/>
    <n v="2"/>
    <n v="10.8"/>
    <n v="864"/>
    <x v="2"/>
    <x v="1"/>
    <s v="NORMAL"/>
    <x v="0"/>
  </r>
  <r>
    <n v="105"/>
    <d v="2026-07-08T00:00:00"/>
    <n v="4"/>
    <n v="1"/>
    <n v="67.900000000000006"/>
    <n v="1698"/>
    <x v="3"/>
    <x v="0"/>
    <s v="BIG"/>
    <x v="0"/>
  </r>
  <r>
    <n v="106"/>
    <d v="2026-07-08T00:00:00"/>
    <n v="4"/>
    <n v="2"/>
    <n v="125.9"/>
    <n v="3148"/>
    <x v="3"/>
    <x v="1"/>
    <s v="BIG"/>
    <x v="0"/>
  </r>
  <r>
    <n v="107"/>
    <d v="2026-07-08T00:00:00"/>
    <n v="5"/>
    <n v="1"/>
    <n v="5.8"/>
    <n v="638"/>
    <x v="4"/>
    <x v="0"/>
    <s v="NORMAL"/>
    <x v="0"/>
  </r>
  <r>
    <n v="108"/>
    <d v="2026-07-08T00:00:00"/>
    <n v="5"/>
    <n v="2"/>
    <n v="8"/>
    <n v="880"/>
    <x v="4"/>
    <x v="1"/>
    <s v="NORMAL"/>
    <x v="0"/>
  </r>
  <r>
    <n v="109"/>
    <d v="2026-07-08T00:00:00"/>
    <n v="6"/>
    <n v="1"/>
    <n v="4.2"/>
    <n v="924"/>
    <x v="5"/>
    <x v="0"/>
    <s v="NORMAL"/>
    <x v="0"/>
  </r>
  <r>
    <n v="110"/>
    <d v="2026-07-08T00:00:00"/>
    <n v="6"/>
    <n v="2"/>
    <n v="12.8"/>
    <n v="2816"/>
    <x v="5"/>
    <x v="1"/>
    <s v="NORMAL"/>
    <x v="0"/>
  </r>
  <r>
    <n v="111"/>
    <d v="2026-07-08T00:00:00"/>
    <n v="7"/>
    <n v="1"/>
    <n v="24.4"/>
    <n v="2318"/>
    <x v="6"/>
    <x v="0"/>
    <s v="NORMAL"/>
    <x v="0"/>
  </r>
  <r>
    <n v="112"/>
    <d v="2026-07-08T00:00:00"/>
    <n v="7"/>
    <n v="2"/>
    <n v="27.4"/>
    <n v="2603"/>
    <x v="6"/>
    <x v="1"/>
    <s v="NORMAL"/>
    <x v="0"/>
  </r>
  <r>
    <n v="113"/>
    <d v="2026-07-09T00:00:00"/>
    <n v="1"/>
    <n v="1"/>
    <n v="15.7"/>
    <n v="942"/>
    <x v="0"/>
    <x v="0"/>
    <s v="NORMAL"/>
    <x v="0"/>
  </r>
  <r>
    <n v="114"/>
    <d v="2026-07-09T00:00:00"/>
    <n v="1"/>
    <n v="2"/>
    <n v="25.2"/>
    <n v="1512"/>
    <x v="0"/>
    <x v="1"/>
    <s v="NORMAL"/>
    <x v="0"/>
  </r>
  <r>
    <n v="115"/>
    <d v="2026-07-09T00:00:00"/>
    <n v="2"/>
    <n v="1"/>
    <n v="33.6"/>
    <n v="3024"/>
    <x v="1"/>
    <x v="0"/>
    <s v="NORMAL"/>
    <x v="0"/>
  </r>
  <r>
    <n v="116"/>
    <d v="2026-07-09T00:00:00"/>
    <n v="2"/>
    <n v="2"/>
    <n v="27.6"/>
    <n v="2484"/>
    <x v="1"/>
    <x v="1"/>
    <s v="NORMAL"/>
    <x v="0"/>
  </r>
  <r>
    <n v="117"/>
    <d v="2026-07-09T00:00:00"/>
    <n v="3"/>
    <n v="1"/>
    <n v="9.1"/>
    <n v="728"/>
    <x v="2"/>
    <x v="0"/>
    <s v="NORMAL"/>
    <x v="0"/>
  </r>
  <r>
    <n v="118"/>
    <d v="2026-07-09T00:00:00"/>
    <n v="3"/>
    <n v="2"/>
    <n v="17.8"/>
    <n v="1424"/>
    <x v="2"/>
    <x v="1"/>
    <s v="NORMAL"/>
    <x v="0"/>
  </r>
  <r>
    <n v="119"/>
    <d v="2026-07-09T00:00:00"/>
    <n v="4"/>
    <n v="1"/>
    <n v="63.8"/>
    <n v="1595"/>
    <x v="3"/>
    <x v="0"/>
    <s v="BIG"/>
    <x v="0"/>
  </r>
  <r>
    <n v="120"/>
    <d v="2026-07-09T00:00:00"/>
    <n v="4"/>
    <n v="2"/>
    <n v="90.9"/>
    <n v="2272"/>
    <x v="3"/>
    <x v="1"/>
    <s v="BIG"/>
    <x v="0"/>
  </r>
  <r>
    <n v="121"/>
    <d v="2026-07-09T00:00:00"/>
    <n v="5"/>
    <n v="1"/>
    <n v="5.0999999999999996"/>
    <n v="561"/>
    <x v="4"/>
    <x v="0"/>
    <s v="NORMAL"/>
    <x v="0"/>
  </r>
  <r>
    <n v="122"/>
    <d v="2026-07-09T00:00:00"/>
    <n v="5"/>
    <n v="2"/>
    <n v="5.3"/>
    <n v="583"/>
    <x v="4"/>
    <x v="1"/>
    <s v="NORMAL"/>
    <x v="0"/>
  </r>
  <r>
    <n v="123"/>
    <d v="2026-07-09T00:00:00"/>
    <n v="6"/>
    <n v="1"/>
    <n v="8.4"/>
    <n v="1848"/>
    <x v="5"/>
    <x v="0"/>
    <s v="NORMAL"/>
    <x v="0"/>
  </r>
  <r>
    <n v="124"/>
    <d v="2026-07-09T00:00:00"/>
    <n v="6"/>
    <n v="2"/>
    <n v="8.5"/>
    <n v="1870"/>
    <x v="5"/>
    <x v="1"/>
    <s v="NORMAL"/>
    <x v="0"/>
  </r>
  <r>
    <n v="125"/>
    <d v="2026-07-09T00:00:00"/>
    <n v="7"/>
    <n v="1"/>
    <n v="25.9"/>
    <n v="2460"/>
    <x v="6"/>
    <x v="0"/>
    <s v="NORMAL"/>
    <x v="0"/>
  </r>
  <r>
    <n v="126"/>
    <d v="2026-07-09T00:00:00"/>
    <n v="7"/>
    <n v="2"/>
    <n v="30.8"/>
    <n v="2926"/>
    <x v="6"/>
    <x v="1"/>
    <s v="NORMAL"/>
    <x v="0"/>
  </r>
  <r>
    <n v="127"/>
    <d v="2026-07-10T00:00:00"/>
    <n v="1"/>
    <n v="1"/>
    <n v="26.2"/>
    <n v="1572"/>
    <x v="0"/>
    <x v="0"/>
    <s v="NORMAL"/>
    <x v="0"/>
  </r>
  <r>
    <n v="128"/>
    <d v="2026-07-10T00:00:00"/>
    <n v="1"/>
    <n v="2"/>
    <n v="26.6"/>
    <n v="1596"/>
    <x v="0"/>
    <x v="1"/>
    <s v="NORMAL"/>
    <x v="0"/>
  </r>
  <r>
    <n v="129"/>
    <d v="2026-07-10T00:00:00"/>
    <n v="2"/>
    <n v="1"/>
    <n v="31.8"/>
    <n v="2862"/>
    <x v="1"/>
    <x v="0"/>
    <s v="NORMAL"/>
    <x v="0"/>
  </r>
  <r>
    <n v="130"/>
    <d v="2026-07-10T00:00:00"/>
    <n v="2"/>
    <n v="2"/>
    <n v="25.9"/>
    <n v="2331"/>
    <x v="1"/>
    <x v="1"/>
    <s v="NORMAL"/>
    <x v="0"/>
  </r>
  <r>
    <n v="131"/>
    <d v="2026-07-10T00:00:00"/>
    <n v="3"/>
    <n v="1"/>
    <n v="9.8000000000000007"/>
    <n v="784"/>
    <x v="2"/>
    <x v="0"/>
    <s v="NORMAL"/>
    <x v="0"/>
  </r>
  <r>
    <n v="132"/>
    <d v="2026-07-10T00:00:00"/>
    <n v="3"/>
    <n v="2"/>
    <n v="14.9"/>
    <n v="1192"/>
    <x v="2"/>
    <x v="1"/>
    <s v="NORMAL"/>
    <x v="0"/>
  </r>
  <r>
    <n v="133"/>
    <d v="2026-07-10T00:00:00"/>
    <n v="4"/>
    <n v="1"/>
    <n v="94.4"/>
    <n v="2360"/>
    <x v="3"/>
    <x v="0"/>
    <s v="BIG"/>
    <x v="0"/>
  </r>
  <r>
    <n v="134"/>
    <d v="2026-07-10T00:00:00"/>
    <n v="4"/>
    <n v="2"/>
    <n v="65.099999999999994"/>
    <n v="1627"/>
    <x v="3"/>
    <x v="1"/>
    <s v="BIG"/>
    <x v="0"/>
  </r>
  <r>
    <n v="135"/>
    <d v="2026-07-10T00:00:00"/>
    <n v="5"/>
    <n v="1"/>
    <n v="6"/>
    <n v="660"/>
    <x v="4"/>
    <x v="0"/>
    <s v="NORMAL"/>
    <x v="0"/>
  </r>
  <r>
    <n v="136"/>
    <d v="2026-07-10T00:00:00"/>
    <n v="5"/>
    <n v="2"/>
    <n v="7.8"/>
    <n v="858"/>
    <x v="4"/>
    <x v="1"/>
    <s v="NORMAL"/>
    <x v="0"/>
  </r>
  <r>
    <n v="137"/>
    <d v="2026-07-10T00:00:00"/>
    <n v="6"/>
    <n v="1"/>
    <n v="10.5"/>
    <n v="2310"/>
    <x v="5"/>
    <x v="0"/>
    <s v="NORMAL"/>
    <x v="0"/>
  </r>
  <r>
    <n v="138"/>
    <d v="2026-07-10T00:00:00"/>
    <n v="6"/>
    <n v="2"/>
    <n v="12.8"/>
    <n v="2816"/>
    <x v="5"/>
    <x v="1"/>
    <s v="NORMAL"/>
    <x v="0"/>
  </r>
  <r>
    <n v="139"/>
    <d v="2026-07-10T00:00:00"/>
    <n v="7"/>
    <n v="1"/>
    <n v="22.2"/>
    <n v="2109"/>
    <x v="6"/>
    <x v="0"/>
    <s v="NORMAL"/>
    <x v="0"/>
  </r>
  <r>
    <n v="140"/>
    <d v="2026-07-10T00:00:00"/>
    <n v="7"/>
    <n v="2"/>
    <n v="27.6"/>
    <n v="2622"/>
    <x v="6"/>
    <x v="1"/>
    <s v="NORMAL"/>
    <x v="0"/>
  </r>
  <r>
    <n v="141"/>
    <d v="2026-07-11T00:00:00"/>
    <n v="1"/>
    <n v="1"/>
    <n v="16.899999999999999"/>
    <n v="1014"/>
    <x v="0"/>
    <x v="0"/>
    <s v="NORMAL"/>
    <x v="0"/>
  </r>
  <r>
    <n v="142"/>
    <d v="2026-07-11T00:00:00"/>
    <n v="1"/>
    <n v="2"/>
    <n v="32.700000000000003"/>
    <n v="1962"/>
    <x v="0"/>
    <x v="1"/>
    <s v="NORMAL"/>
    <x v="0"/>
  </r>
  <r>
    <n v="143"/>
    <d v="2026-07-11T00:00:00"/>
    <n v="2"/>
    <n v="1"/>
    <n v="30.1"/>
    <n v="2709"/>
    <x v="1"/>
    <x v="0"/>
    <s v="NORMAL"/>
    <x v="0"/>
  </r>
  <r>
    <n v="144"/>
    <d v="2026-07-11T00:00:00"/>
    <n v="2"/>
    <n v="2"/>
    <n v="61.4"/>
    <n v="5526"/>
    <x v="1"/>
    <x v="1"/>
    <s v="BIG"/>
    <x v="0"/>
  </r>
  <r>
    <n v="145"/>
    <d v="2026-07-11T00:00:00"/>
    <n v="3"/>
    <n v="1"/>
    <n v="11"/>
    <n v="880"/>
    <x v="2"/>
    <x v="0"/>
    <s v="NORMAL"/>
    <x v="0"/>
  </r>
  <r>
    <n v="146"/>
    <d v="2026-07-11T00:00:00"/>
    <n v="3"/>
    <n v="2"/>
    <n v="18.600000000000001"/>
    <n v="1488"/>
    <x v="2"/>
    <x v="1"/>
    <s v="NORMAL"/>
    <x v="0"/>
  </r>
  <r>
    <n v="147"/>
    <d v="2026-07-11T00:00:00"/>
    <n v="4"/>
    <n v="1"/>
    <n v="60"/>
    <n v="1500"/>
    <x v="3"/>
    <x v="0"/>
    <s v="BIG"/>
    <x v="0"/>
  </r>
  <r>
    <n v="148"/>
    <d v="2026-07-11T00:00:00"/>
    <n v="4"/>
    <n v="2"/>
    <n v="112.8"/>
    <n v="2820"/>
    <x v="3"/>
    <x v="1"/>
    <s v="BIG"/>
    <x v="0"/>
  </r>
  <r>
    <n v="149"/>
    <d v="2026-07-11T00:00:00"/>
    <n v="5"/>
    <n v="1"/>
    <n v="6.6"/>
    <n v="726"/>
    <x v="4"/>
    <x v="0"/>
    <s v="NORMAL"/>
    <x v="0"/>
  </r>
  <r>
    <n v="150"/>
    <d v="2026-07-11T00:00:00"/>
    <n v="5"/>
    <n v="2"/>
    <n v="10.199999999999999"/>
    <n v="1122"/>
    <x v="4"/>
    <x v="1"/>
    <s v="NORMAL"/>
    <x v="0"/>
  </r>
  <r>
    <n v="151"/>
    <d v="2026-07-11T00:00:00"/>
    <n v="6"/>
    <n v="1"/>
    <n v="12.9"/>
    <n v="2838"/>
    <x v="5"/>
    <x v="0"/>
    <s v="NORMAL"/>
    <x v="0"/>
  </r>
  <r>
    <n v="152"/>
    <d v="2026-07-11T00:00:00"/>
    <n v="6"/>
    <n v="2"/>
    <n v="13.9"/>
    <n v="3058"/>
    <x v="5"/>
    <x v="1"/>
    <s v="NORMAL"/>
    <x v="0"/>
  </r>
  <r>
    <n v="153"/>
    <d v="2026-07-11T00:00:00"/>
    <n v="7"/>
    <n v="1"/>
    <n v="21.4"/>
    <n v="2033"/>
    <x v="6"/>
    <x v="0"/>
    <s v="NORMAL"/>
    <x v="0"/>
  </r>
  <r>
    <n v="154"/>
    <d v="2026-07-11T00:00:00"/>
    <n v="7"/>
    <n v="2"/>
    <n v="42"/>
    <n v="3990"/>
    <x v="6"/>
    <x v="1"/>
    <s v="NORMAL"/>
    <x v="0"/>
  </r>
  <r>
    <n v="155"/>
    <d v="2026-07-12T00:00:00"/>
    <n v="1"/>
    <n v="1"/>
    <n v="24.8"/>
    <n v="1488"/>
    <x v="0"/>
    <x v="0"/>
    <s v="NORMAL"/>
    <x v="0"/>
  </r>
  <r>
    <n v="156"/>
    <d v="2026-07-12T00:00:00"/>
    <n v="1"/>
    <n v="2"/>
    <n v="34.6"/>
    <n v="2076"/>
    <x v="0"/>
    <x v="1"/>
    <s v="NORMAL"/>
    <x v="0"/>
  </r>
  <r>
    <n v="157"/>
    <d v="2026-07-12T00:00:00"/>
    <n v="2"/>
    <n v="1"/>
    <n v="26.9"/>
    <n v="2421"/>
    <x v="1"/>
    <x v="0"/>
    <s v="NORMAL"/>
    <x v="0"/>
  </r>
  <r>
    <n v="158"/>
    <d v="2026-07-12T00:00:00"/>
    <n v="2"/>
    <n v="2"/>
    <n v="53.7"/>
    <n v="4833"/>
    <x v="1"/>
    <x v="1"/>
    <s v="BIG"/>
    <x v="0"/>
  </r>
  <r>
    <n v="159"/>
    <d v="2026-07-12T00:00:00"/>
    <n v="3"/>
    <n v="1"/>
    <n v="12.7"/>
    <n v="1016"/>
    <x v="2"/>
    <x v="0"/>
    <s v="NORMAL"/>
    <x v="0"/>
  </r>
  <r>
    <n v="160"/>
    <d v="2026-07-12T00:00:00"/>
    <n v="3"/>
    <n v="2"/>
    <n v="19.899999999999999"/>
    <n v="1592"/>
    <x v="2"/>
    <x v="1"/>
    <s v="NORMAL"/>
    <x v="0"/>
  </r>
  <r>
    <n v="161"/>
    <d v="2026-07-12T00:00:00"/>
    <n v="4"/>
    <n v="1"/>
    <n v="109.8"/>
    <n v="2745"/>
    <x v="3"/>
    <x v="0"/>
    <s v="BIG"/>
    <x v="0"/>
  </r>
  <r>
    <n v="162"/>
    <d v="2026-07-12T00:00:00"/>
    <n v="4"/>
    <n v="2"/>
    <n v="137.4"/>
    <n v="3435"/>
    <x v="3"/>
    <x v="1"/>
    <s v="BIG"/>
    <x v="0"/>
  </r>
  <r>
    <n v="163"/>
    <d v="2026-07-12T00:00:00"/>
    <n v="5"/>
    <n v="1"/>
    <n v="6.6"/>
    <n v="726"/>
    <x v="4"/>
    <x v="0"/>
    <s v="NORMAL"/>
    <x v="0"/>
  </r>
  <r>
    <n v="164"/>
    <d v="2026-07-12T00:00:00"/>
    <n v="5"/>
    <n v="2"/>
    <n v="12.5"/>
    <n v="1375"/>
    <x v="4"/>
    <x v="1"/>
    <s v="NORMAL"/>
    <x v="0"/>
  </r>
  <r>
    <n v="165"/>
    <d v="2026-07-12T00:00:00"/>
    <n v="6"/>
    <n v="1"/>
    <n v="10.5"/>
    <n v="2310"/>
    <x v="5"/>
    <x v="0"/>
    <s v="NORMAL"/>
    <x v="0"/>
  </r>
  <r>
    <n v="166"/>
    <d v="2026-07-12T00:00:00"/>
    <n v="6"/>
    <n v="2"/>
    <n v="13.2"/>
    <n v="2904"/>
    <x v="5"/>
    <x v="1"/>
    <s v="NORMAL"/>
    <x v="0"/>
  </r>
  <r>
    <n v="167"/>
    <d v="2026-07-12T00:00:00"/>
    <n v="7"/>
    <n v="1"/>
    <n v="28.1"/>
    <n v="2670"/>
    <x v="6"/>
    <x v="0"/>
    <s v="NORMAL"/>
    <x v="0"/>
  </r>
  <r>
    <n v="168"/>
    <d v="2026-07-12T00:00:00"/>
    <n v="7"/>
    <n v="2"/>
    <n v="49.9"/>
    <n v="4740"/>
    <x v="6"/>
    <x v="1"/>
    <s v="NORMAL"/>
    <x v="0"/>
  </r>
  <r>
    <n v="169"/>
    <d v="2026-07-13T00:00:00"/>
    <n v="1"/>
    <n v="1"/>
    <n v="18.399999999999999"/>
    <n v="1104"/>
    <x v="0"/>
    <x v="0"/>
    <s v="NORMAL"/>
    <x v="0"/>
  </r>
  <r>
    <n v="170"/>
    <d v="2026-07-13T00:00:00"/>
    <n v="1"/>
    <n v="2"/>
    <n v="27.8"/>
    <n v="1668"/>
    <x v="0"/>
    <x v="1"/>
    <s v="NORMAL"/>
    <x v="0"/>
  </r>
  <r>
    <n v="171"/>
    <d v="2026-07-13T00:00:00"/>
    <n v="2"/>
    <n v="1"/>
    <n v="31"/>
    <n v="2790"/>
    <x v="1"/>
    <x v="0"/>
    <s v="NORMAL"/>
    <x v="0"/>
  </r>
  <r>
    <n v="172"/>
    <d v="2026-07-13T00:00:00"/>
    <n v="2"/>
    <n v="2"/>
    <n v="31.4"/>
    <n v="2826"/>
    <x v="1"/>
    <x v="1"/>
    <s v="NORMAL"/>
    <x v="0"/>
  </r>
  <r>
    <n v="173"/>
    <d v="2026-07-13T00:00:00"/>
    <n v="3"/>
    <n v="1"/>
    <n v="6.5"/>
    <n v="520"/>
    <x v="2"/>
    <x v="0"/>
    <s v="NORMAL"/>
    <x v="0"/>
  </r>
  <r>
    <n v="174"/>
    <d v="2026-07-13T00:00:00"/>
    <n v="3"/>
    <n v="2"/>
    <n v="14.8"/>
    <n v="1184"/>
    <x v="2"/>
    <x v="1"/>
    <s v="NORMAL"/>
    <x v="0"/>
  </r>
  <r>
    <n v="175"/>
    <d v="2026-07-13T00:00:00"/>
    <n v="4"/>
    <n v="1"/>
    <n v="73.2"/>
    <n v="1830"/>
    <x v="3"/>
    <x v="0"/>
    <s v="BIG"/>
    <x v="0"/>
  </r>
  <r>
    <n v="176"/>
    <d v="2026-07-13T00:00:00"/>
    <n v="4"/>
    <n v="2"/>
    <n v="86.1"/>
    <n v="2152"/>
    <x v="3"/>
    <x v="1"/>
    <s v="BIG"/>
    <x v="0"/>
  </r>
  <r>
    <n v="177"/>
    <d v="2026-07-13T00:00:00"/>
    <n v="5"/>
    <n v="1"/>
    <n v="5.9"/>
    <n v="649"/>
    <x v="4"/>
    <x v="0"/>
    <s v="NORMAL"/>
    <x v="0"/>
  </r>
  <r>
    <n v="178"/>
    <d v="2026-07-13T00:00:00"/>
    <n v="5"/>
    <n v="2"/>
    <n v="7.9"/>
    <n v="869"/>
    <x v="4"/>
    <x v="1"/>
    <s v="NORMAL"/>
    <x v="0"/>
  </r>
  <r>
    <n v="179"/>
    <d v="2026-07-13T00:00:00"/>
    <n v="6"/>
    <n v="1"/>
    <n v="6.4"/>
    <n v="1408"/>
    <x v="5"/>
    <x v="0"/>
    <s v="NORMAL"/>
    <x v="0"/>
  </r>
  <r>
    <n v="180"/>
    <d v="2026-07-13T00:00:00"/>
    <n v="6"/>
    <n v="2"/>
    <n v="12.4"/>
    <n v="2728"/>
    <x v="5"/>
    <x v="1"/>
    <s v="NORMAL"/>
    <x v="0"/>
  </r>
  <r>
    <n v="181"/>
    <d v="2026-07-13T00:00:00"/>
    <n v="7"/>
    <n v="1"/>
    <n v="21.1"/>
    <n v="2005"/>
    <x v="6"/>
    <x v="0"/>
    <s v="NORMAL"/>
    <x v="0"/>
  </r>
  <r>
    <n v="182"/>
    <d v="2026-07-13T00:00:00"/>
    <n v="7"/>
    <n v="2"/>
    <n v="21.7"/>
    <n v="2062"/>
    <x v="6"/>
    <x v="1"/>
    <s v="NORMAL"/>
    <x v="0"/>
  </r>
  <r>
    <n v="183"/>
    <d v="2026-07-14T00:00:00"/>
    <n v="1"/>
    <n v="1"/>
    <n v="19.600000000000001"/>
    <n v="1176"/>
    <x v="0"/>
    <x v="0"/>
    <s v="NORMAL"/>
    <x v="0"/>
  </r>
  <r>
    <n v="184"/>
    <d v="2026-07-14T00:00:00"/>
    <n v="1"/>
    <n v="2"/>
    <n v="25"/>
    <n v="1500"/>
    <x v="0"/>
    <x v="1"/>
    <s v="NORMAL"/>
    <x v="0"/>
  </r>
  <r>
    <n v="185"/>
    <d v="2026-07-14T00:00:00"/>
    <n v="2"/>
    <n v="1"/>
    <n v="21.3"/>
    <n v="1917"/>
    <x v="1"/>
    <x v="0"/>
    <s v="NORMAL"/>
    <x v="0"/>
  </r>
  <r>
    <n v="186"/>
    <d v="2026-07-14T00:00:00"/>
    <n v="2"/>
    <n v="2"/>
    <n v="38.700000000000003"/>
    <n v="3483"/>
    <x v="1"/>
    <x v="1"/>
    <s v="NORMAL"/>
    <x v="0"/>
  </r>
  <r>
    <n v="187"/>
    <d v="2026-07-14T00:00:00"/>
    <n v="3"/>
    <n v="1"/>
    <n v="11"/>
    <n v="880"/>
    <x v="2"/>
    <x v="0"/>
    <s v="NORMAL"/>
    <x v="0"/>
  </r>
  <r>
    <n v="188"/>
    <d v="2026-07-14T00:00:00"/>
    <n v="3"/>
    <n v="2"/>
    <n v="12.4"/>
    <n v="992"/>
    <x v="2"/>
    <x v="1"/>
    <s v="NORMAL"/>
    <x v="0"/>
  </r>
  <r>
    <n v="189"/>
    <d v="2026-07-14T00:00:00"/>
    <n v="4"/>
    <n v="1"/>
    <n v="75.599999999999994"/>
    <n v="1890"/>
    <x v="3"/>
    <x v="0"/>
    <s v="BIG"/>
    <x v="0"/>
  </r>
  <r>
    <n v="190"/>
    <d v="2026-07-14T00:00:00"/>
    <n v="4"/>
    <n v="2"/>
    <n v="117.9"/>
    <n v="2948"/>
    <x v="3"/>
    <x v="1"/>
    <s v="BIG"/>
    <x v="0"/>
  </r>
  <r>
    <n v="191"/>
    <d v="2026-07-14T00:00:00"/>
    <n v="5"/>
    <n v="1"/>
    <n v="4.3"/>
    <n v="473"/>
    <x v="4"/>
    <x v="0"/>
    <s v="NORMAL"/>
    <x v="0"/>
  </r>
  <r>
    <n v="192"/>
    <d v="2026-07-14T00:00:00"/>
    <n v="5"/>
    <n v="2"/>
    <n v="7.5"/>
    <n v="825"/>
    <x v="4"/>
    <x v="1"/>
    <s v="NORMAL"/>
    <x v="0"/>
  </r>
  <r>
    <n v="193"/>
    <d v="2026-07-14T00:00:00"/>
    <n v="6"/>
    <n v="1"/>
    <n v="8"/>
    <n v="1760"/>
    <x v="5"/>
    <x v="0"/>
    <s v="NORMAL"/>
    <x v="0"/>
  </r>
  <r>
    <n v="194"/>
    <d v="2026-07-14T00:00:00"/>
    <n v="6"/>
    <n v="2"/>
    <n v="16.3"/>
    <n v="3586"/>
    <x v="5"/>
    <x v="1"/>
    <s v="NORMAL"/>
    <x v="0"/>
  </r>
  <r>
    <n v="195"/>
    <d v="2026-07-14T00:00:00"/>
    <n v="7"/>
    <n v="1"/>
    <n v="13.8"/>
    <n v="1311"/>
    <x v="6"/>
    <x v="0"/>
    <s v="NORMAL"/>
    <x v="0"/>
  </r>
  <r>
    <n v="196"/>
    <d v="2026-07-14T00:00:00"/>
    <n v="7"/>
    <n v="2"/>
    <n v="35.1"/>
    <n v="3334"/>
    <x v="6"/>
    <x v="1"/>
    <s v="NORMAL"/>
    <x v="0"/>
  </r>
  <r>
    <n v="197"/>
    <d v="2026-07-15T00:00:00"/>
    <n v="1"/>
    <n v="1"/>
    <n v="16.899999999999999"/>
    <n v="1014"/>
    <x v="0"/>
    <x v="0"/>
    <s v="NORMAL"/>
    <x v="0"/>
  </r>
  <r>
    <n v="198"/>
    <d v="2026-07-15T00:00:00"/>
    <n v="1"/>
    <n v="2"/>
    <n v="24.7"/>
    <n v="1482"/>
    <x v="0"/>
    <x v="1"/>
    <s v="NORMAL"/>
    <x v="0"/>
  </r>
  <r>
    <n v="199"/>
    <d v="2026-07-15T00:00:00"/>
    <n v="2"/>
    <n v="1"/>
    <n v="34.5"/>
    <n v="3105"/>
    <x v="1"/>
    <x v="0"/>
    <s v="NORMAL"/>
    <x v="0"/>
  </r>
  <r>
    <n v="200"/>
    <d v="2026-07-15T00:00:00"/>
    <n v="2"/>
    <n v="2"/>
    <n v="34.9"/>
    <n v="3141"/>
    <x v="1"/>
    <x v="1"/>
    <s v="NORMAL"/>
    <x v="0"/>
  </r>
  <r>
    <n v="201"/>
    <d v="2026-07-15T00:00:00"/>
    <n v="3"/>
    <n v="1"/>
    <n v="14.5"/>
    <n v="1160"/>
    <x v="2"/>
    <x v="0"/>
    <s v="NORMAL"/>
    <x v="0"/>
  </r>
  <r>
    <n v="202"/>
    <d v="2026-07-15T00:00:00"/>
    <n v="3"/>
    <n v="2"/>
    <n v="12.8"/>
    <n v="1024"/>
    <x v="2"/>
    <x v="1"/>
    <s v="NORMAL"/>
    <x v="0"/>
  </r>
  <r>
    <n v="203"/>
    <d v="2026-07-15T00:00:00"/>
    <n v="4"/>
    <n v="1"/>
    <n v="74.900000000000006"/>
    <n v="1873"/>
    <x v="3"/>
    <x v="0"/>
    <s v="BIG"/>
    <x v="0"/>
  </r>
  <r>
    <n v="204"/>
    <d v="2026-07-15T00:00:00"/>
    <n v="4"/>
    <n v="2"/>
    <n v="88.4"/>
    <n v="2210"/>
    <x v="3"/>
    <x v="1"/>
    <s v="BIG"/>
    <x v="0"/>
  </r>
  <r>
    <n v="205"/>
    <d v="2026-07-15T00:00:00"/>
    <n v="5"/>
    <n v="1"/>
    <n v="4.3"/>
    <n v="473"/>
    <x v="4"/>
    <x v="0"/>
    <s v="NORMAL"/>
    <x v="0"/>
  </r>
  <r>
    <n v="206"/>
    <d v="2026-07-15T00:00:00"/>
    <n v="5"/>
    <n v="2"/>
    <n v="7.1"/>
    <n v="781"/>
    <x v="4"/>
    <x v="1"/>
    <s v="NORMAL"/>
    <x v="0"/>
  </r>
  <r>
    <n v="207"/>
    <d v="2026-07-15T00:00:00"/>
    <n v="6"/>
    <n v="1"/>
    <n v="7.5"/>
    <n v="1650"/>
    <x v="5"/>
    <x v="0"/>
    <s v="NORMAL"/>
    <x v="0"/>
  </r>
  <r>
    <n v="208"/>
    <d v="2026-07-15T00:00:00"/>
    <n v="6"/>
    <n v="2"/>
    <n v="11.7"/>
    <n v="2574"/>
    <x v="5"/>
    <x v="1"/>
    <s v="NORMAL"/>
    <x v="0"/>
  </r>
  <r>
    <n v="209"/>
    <d v="2026-07-15T00:00:00"/>
    <n v="7"/>
    <n v="1"/>
    <n v="12.7"/>
    <n v="1206"/>
    <x v="6"/>
    <x v="0"/>
    <s v="NORMAL"/>
    <x v="0"/>
  </r>
  <r>
    <n v="210"/>
    <d v="2026-07-15T00:00:00"/>
    <n v="7"/>
    <n v="2"/>
    <n v="43.1"/>
    <n v="4094"/>
    <x v="6"/>
    <x v="1"/>
    <s v="NORMAL"/>
    <x v="0"/>
  </r>
  <r>
    <n v="211"/>
    <d v="2026-07-16T00:00:00"/>
    <n v="1"/>
    <n v="1"/>
    <n v="17.399999999999999"/>
    <n v="1044"/>
    <x v="0"/>
    <x v="0"/>
    <s v="NORMAL"/>
    <x v="0"/>
  </r>
  <r>
    <n v="212"/>
    <d v="2026-07-16T00:00:00"/>
    <n v="1"/>
    <n v="2"/>
    <n v="34"/>
    <n v="2040"/>
    <x v="0"/>
    <x v="1"/>
    <s v="NORMAL"/>
    <x v="0"/>
  </r>
  <r>
    <n v="213"/>
    <d v="2026-07-16T00:00:00"/>
    <n v="2"/>
    <n v="1"/>
    <n v="20"/>
    <n v="1800"/>
    <x v="1"/>
    <x v="0"/>
    <s v="NORMAL"/>
    <x v="0"/>
  </r>
  <r>
    <n v="214"/>
    <d v="2026-07-16T00:00:00"/>
    <n v="2"/>
    <n v="2"/>
    <n v="37"/>
    <n v="3330"/>
    <x v="1"/>
    <x v="1"/>
    <s v="NORMAL"/>
    <x v="0"/>
  </r>
  <r>
    <n v="215"/>
    <d v="2026-07-16T00:00:00"/>
    <n v="3"/>
    <n v="1"/>
    <n v="16.3"/>
    <n v="1304"/>
    <x v="2"/>
    <x v="0"/>
    <s v="NORMAL"/>
    <x v="0"/>
  </r>
  <r>
    <n v="216"/>
    <d v="2026-07-16T00:00:00"/>
    <n v="3"/>
    <n v="2"/>
    <n v="11.6"/>
    <n v="928"/>
    <x v="2"/>
    <x v="1"/>
    <s v="NORMAL"/>
    <x v="0"/>
  </r>
  <r>
    <n v="217"/>
    <d v="2026-07-16T00:00:00"/>
    <n v="4"/>
    <n v="1"/>
    <n v="49.1"/>
    <n v="1228"/>
    <x v="3"/>
    <x v="0"/>
    <s v="NORMAL"/>
    <x v="0"/>
  </r>
  <r>
    <n v="218"/>
    <d v="2026-07-16T00:00:00"/>
    <n v="4"/>
    <n v="2"/>
    <n v="87.3"/>
    <n v="2182"/>
    <x v="3"/>
    <x v="1"/>
    <s v="BIG"/>
    <x v="0"/>
  </r>
  <r>
    <n v="219"/>
    <d v="2026-07-16T00:00:00"/>
    <n v="5"/>
    <n v="1"/>
    <n v="5.5"/>
    <n v="605"/>
    <x v="4"/>
    <x v="0"/>
    <s v="NORMAL"/>
    <x v="0"/>
  </r>
  <r>
    <n v="220"/>
    <d v="2026-07-16T00:00:00"/>
    <n v="5"/>
    <n v="2"/>
    <n v="8"/>
    <n v="880"/>
    <x v="4"/>
    <x v="1"/>
    <s v="NORMAL"/>
    <x v="0"/>
  </r>
  <r>
    <n v="221"/>
    <d v="2026-07-16T00:00:00"/>
    <n v="6"/>
    <n v="1"/>
    <n v="10.1"/>
    <n v="2222"/>
    <x v="5"/>
    <x v="0"/>
    <s v="NORMAL"/>
    <x v="0"/>
  </r>
  <r>
    <n v="222"/>
    <d v="2026-07-16T00:00:00"/>
    <n v="6"/>
    <n v="2"/>
    <n v="10.6"/>
    <n v="2332"/>
    <x v="5"/>
    <x v="1"/>
    <s v="NORMAL"/>
    <x v="0"/>
  </r>
  <r>
    <n v="223"/>
    <d v="2026-07-16T00:00:00"/>
    <n v="7"/>
    <n v="1"/>
    <n v="15"/>
    <n v="1425"/>
    <x v="6"/>
    <x v="0"/>
    <s v="NORMAL"/>
    <x v="0"/>
  </r>
  <r>
    <n v="224"/>
    <d v="2026-07-16T00:00:00"/>
    <n v="7"/>
    <n v="2"/>
    <n v="28.1"/>
    <n v="2670"/>
    <x v="6"/>
    <x v="1"/>
    <s v="NORMAL"/>
    <x v="0"/>
  </r>
  <r>
    <n v="225"/>
    <d v="2026-07-17T00:00:00"/>
    <n v="1"/>
    <n v="1"/>
    <n v="22.5"/>
    <n v="1350"/>
    <x v="0"/>
    <x v="0"/>
    <s v="NORMAL"/>
    <x v="0"/>
  </r>
  <r>
    <n v="226"/>
    <d v="2026-07-17T00:00:00"/>
    <n v="1"/>
    <n v="2"/>
    <n v="27.5"/>
    <n v="1650"/>
    <x v="0"/>
    <x v="1"/>
    <s v="NORMAL"/>
    <x v="0"/>
  </r>
  <r>
    <n v="227"/>
    <d v="2026-07-17T00:00:00"/>
    <n v="2"/>
    <n v="1"/>
    <n v="15.2"/>
    <n v="1368"/>
    <x v="1"/>
    <x v="0"/>
    <s v="NORMAL"/>
    <x v="0"/>
  </r>
  <r>
    <n v="228"/>
    <d v="2026-07-17T00:00:00"/>
    <n v="2"/>
    <n v="2"/>
    <n v="34.799999999999997"/>
    <n v="3132"/>
    <x v="1"/>
    <x v="1"/>
    <s v="NORMAL"/>
    <x v="0"/>
  </r>
  <r>
    <n v="229"/>
    <d v="2026-07-17T00:00:00"/>
    <n v="3"/>
    <n v="1"/>
    <n v="12.8"/>
    <n v="1024"/>
    <x v="2"/>
    <x v="0"/>
    <s v="NORMAL"/>
    <x v="0"/>
  </r>
  <r>
    <n v="230"/>
    <d v="2026-07-17T00:00:00"/>
    <n v="3"/>
    <n v="2"/>
    <n v="20"/>
    <n v="1600"/>
    <x v="2"/>
    <x v="1"/>
    <s v="NORMAL"/>
    <x v="0"/>
  </r>
  <r>
    <n v="231"/>
    <d v="2026-07-17T00:00:00"/>
    <n v="4"/>
    <n v="1"/>
    <n v="77.900000000000006"/>
    <n v="1948"/>
    <x v="3"/>
    <x v="0"/>
    <s v="BIG"/>
    <x v="0"/>
  </r>
  <r>
    <n v="232"/>
    <d v="2026-07-17T00:00:00"/>
    <n v="4"/>
    <n v="2"/>
    <n v="104.1"/>
    <n v="2602"/>
    <x v="3"/>
    <x v="1"/>
    <s v="BIG"/>
    <x v="0"/>
  </r>
  <r>
    <n v="233"/>
    <d v="2026-07-17T00:00:00"/>
    <n v="5"/>
    <n v="1"/>
    <n v="3.8"/>
    <n v="418"/>
    <x v="4"/>
    <x v="0"/>
    <s v="NORMAL"/>
    <x v="0"/>
  </r>
  <r>
    <n v="234"/>
    <d v="2026-07-17T00:00:00"/>
    <n v="5"/>
    <n v="2"/>
    <n v="5.8"/>
    <n v="638"/>
    <x v="4"/>
    <x v="1"/>
    <s v="NORMAL"/>
    <x v="0"/>
  </r>
  <r>
    <n v="235"/>
    <d v="2026-07-17T00:00:00"/>
    <n v="6"/>
    <n v="1"/>
    <n v="8.1"/>
    <n v="1782"/>
    <x v="5"/>
    <x v="0"/>
    <s v="NORMAL"/>
    <x v="0"/>
  </r>
  <r>
    <n v="236"/>
    <d v="2026-07-17T00:00:00"/>
    <n v="6"/>
    <n v="2"/>
    <n v="12.3"/>
    <n v="2706"/>
    <x v="5"/>
    <x v="1"/>
    <s v="NORMAL"/>
    <x v="0"/>
  </r>
  <r>
    <n v="237"/>
    <d v="2026-07-17T00:00:00"/>
    <n v="7"/>
    <n v="1"/>
    <n v="24.6"/>
    <n v="2337"/>
    <x v="6"/>
    <x v="0"/>
    <s v="NORMAL"/>
    <x v="0"/>
  </r>
  <r>
    <n v="238"/>
    <d v="2026-07-17T00:00:00"/>
    <n v="7"/>
    <n v="2"/>
    <n v="27.9"/>
    <n v="2650"/>
    <x v="6"/>
    <x v="1"/>
    <s v="NORMAL"/>
    <x v="0"/>
  </r>
  <r>
    <n v="239"/>
    <d v="2026-07-18T00:00:00"/>
    <n v="1"/>
    <n v="1"/>
    <n v="17.3"/>
    <n v="1038"/>
    <x v="0"/>
    <x v="0"/>
    <s v="NORMAL"/>
    <x v="0"/>
  </r>
  <r>
    <n v="240"/>
    <d v="2026-07-18T00:00:00"/>
    <n v="1"/>
    <n v="2"/>
    <n v="26.6"/>
    <n v="1596"/>
    <x v="0"/>
    <x v="1"/>
    <s v="NORMAL"/>
    <x v="0"/>
  </r>
  <r>
    <n v="241"/>
    <d v="2026-07-18T00:00:00"/>
    <n v="2"/>
    <n v="1"/>
    <n v="24"/>
    <n v="2160"/>
    <x v="1"/>
    <x v="0"/>
    <s v="NORMAL"/>
    <x v="0"/>
  </r>
  <r>
    <n v="242"/>
    <d v="2026-07-18T00:00:00"/>
    <n v="2"/>
    <n v="2"/>
    <n v="49.4"/>
    <n v="4446"/>
    <x v="1"/>
    <x v="1"/>
    <s v="NORMAL"/>
    <x v="0"/>
  </r>
  <r>
    <n v="243"/>
    <d v="2026-07-18T00:00:00"/>
    <n v="3"/>
    <n v="1"/>
    <n v="6.7"/>
    <n v="536"/>
    <x v="2"/>
    <x v="0"/>
    <s v="NORMAL"/>
    <x v="0"/>
  </r>
  <r>
    <n v="244"/>
    <d v="2026-07-18T00:00:00"/>
    <n v="3"/>
    <n v="2"/>
    <n v="16.3"/>
    <n v="1304"/>
    <x v="2"/>
    <x v="1"/>
    <s v="NORMAL"/>
    <x v="0"/>
  </r>
  <r>
    <n v="245"/>
    <d v="2026-07-18T00:00:00"/>
    <n v="4"/>
    <n v="1"/>
    <n v="95.4"/>
    <n v="2385"/>
    <x v="3"/>
    <x v="0"/>
    <s v="BIG"/>
    <x v="0"/>
  </r>
  <r>
    <n v="246"/>
    <d v="2026-07-18T00:00:00"/>
    <n v="4"/>
    <n v="2"/>
    <n v="159.80000000000001"/>
    <n v="3995"/>
    <x v="3"/>
    <x v="1"/>
    <s v="BIG"/>
    <x v="0"/>
  </r>
  <r>
    <n v="247"/>
    <d v="2026-07-18T00:00:00"/>
    <n v="5"/>
    <n v="1"/>
    <n v="6.3"/>
    <n v="693"/>
    <x v="4"/>
    <x v="0"/>
    <s v="NORMAL"/>
    <x v="0"/>
  </r>
  <r>
    <n v="248"/>
    <d v="2026-07-18T00:00:00"/>
    <n v="5"/>
    <n v="2"/>
    <n v="10.5"/>
    <n v="1155"/>
    <x v="4"/>
    <x v="1"/>
    <s v="NORMAL"/>
    <x v="0"/>
  </r>
  <r>
    <n v="249"/>
    <d v="2026-07-18T00:00:00"/>
    <n v="6"/>
    <n v="1"/>
    <n v="9.1999999999999993"/>
    <n v="2024"/>
    <x v="5"/>
    <x v="0"/>
    <s v="NORMAL"/>
    <x v="0"/>
  </r>
  <r>
    <n v="250"/>
    <d v="2026-07-18T00:00:00"/>
    <n v="6"/>
    <n v="2"/>
    <n v="11.9"/>
    <n v="2618"/>
    <x v="5"/>
    <x v="1"/>
    <s v="NORMAL"/>
    <x v="0"/>
  </r>
  <r>
    <n v="251"/>
    <d v="2026-07-18T00:00:00"/>
    <n v="7"/>
    <n v="1"/>
    <n v="23.8"/>
    <n v="2261"/>
    <x v="6"/>
    <x v="0"/>
    <s v="NORMAL"/>
    <x v="0"/>
  </r>
  <r>
    <n v="252"/>
    <d v="2026-07-18T00:00:00"/>
    <n v="7"/>
    <n v="2"/>
    <n v="50.3"/>
    <n v="4778"/>
    <x v="6"/>
    <x v="1"/>
    <s v="BIG"/>
    <x v="0"/>
  </r>
  <r>
    <n v="253"/>
    <d v="2026-07-19T00:00:00"/>
    <n v="1"/>
    <n v="1"/>
    <n v="27"/>
    <n v="1620"/>
    <x v="0"/>
    <x v="0"/>
    <s v="NORMAL"/>
    <x v="0"/>
  </r>
  <r>
    <n v="254"/>
    <d v="2026-07-19T00:00:00"/>
    <n v="1"/>
    <n v="2"/>
    <n v="34.6"/>
    <n v="2076"/>
    <x v="0"/>
    <x v="1"/>
    <s v="NORMAL"/>
    <x v="0"/>
  </r>
  <r>
    <n v="255"/>
    <d v="2026-07-19T00:00:00"/>
    <n v="2"/>
    <n v="1"/>
    <n v="52.1"/>
    <n v="4689"/>
    <x v="1"/>
    <x v="0"/>
    <s v="BIG"/>
    <x v="0"/>
  </r>
  <r>
    <n v="256"/>
    <d v="2026-07-19T00:00:00"/>
    <n v="2"/>
    <n v="2"/>
    <n v="43.5"/>
    <n v="3915"/>
    <x v="1"/>
    <x v="1"/>
    <s v="NORMAL"/>
    <x v="0"/>
  </r>
  <r>
    <n v="257"/>
    <d v="2026-07-19T00:00:00"/>
    <n v="3"/>
    <n v="1"/>
    <n v="14.1"/>
    <n v="1128"/>
    <x v="2"/>
    <x v="0"/>
    <s v="NORMAL"/>
    <x v="0"/>
  </r>
  <r>
    <n v="258"/>
    <d v="2026-07-19T00:00:00"/>
    <n v="3"/>
    <n v="2"/>
    <n v="18.600000000000001"/>
    <n v="1488"/>
    <x v="2"/>
    <x v="1"/>
    <s v="NORMAL"/>
    <x v="0"/>
  </r>
  <r>
    <n v="259"/>
    <d v="2026-07-19T00:00:00"/>
    <n v="4"/>
    <n v="1"/>
    <n v="83.6"/>
    <n v="2090"/>
    <x v="3"/>
    <x v="0"/>
    <s v="BIG"/>
    <x v="0"/>
  </r>
  <r>
    <n v="260"/>
    <d v="2026-07-19T00:00:00"/>
    <n v="4"/>
    <n v="2"/>
    <n v="179.2"/>
    <n v="4480"/>
    <x v="3"/>
    <x v="1"/>
    <s v="BIG"/>
    <x v="0"/>
  </r>
  <r>
    <n v="261"/>
    <d v="2026-07-19T00:00:00"/>
    <n v="5"/>
    <n v="1"/>
    <n v="8.1"/>
    <n v="891"/>
    <x v="4"/>
    <x v="0"/>
    <s v="NORMAL"/>
    <x v="0"/>
  </r>
  <r>
    <n v="262"/>
    <d v="2026-07-19T00:00:00"/>
    <n v="5"/>
    <n v="2"/>
    <n v="6.3"/>
    <n v="693"/>
    <x v="4"/>
    <x v="1"/>
    <s v="NORMAL"/>
    <x v="0"/>
  </r>
  <r>
    <n v="263"/>
    <d v="2026-07-19T00:00:00"/>
    <n v="6"/>
    <n v="1"/>
    <n v="9.1999999999999993"/>
    <n v="2024"/>
    <x v="5"/>
    <x v="0"/>
    <s v="NORMAL"/>
    <x v="0"/>
  </r>
  <r>
    <n v="264"/>
    <d v="2026-07-19T00:00:00"/>
    <n v="6"/>
    <n v="2"/>
    <n v="15.2"/>
    <n v="3344"/>
    <x v="5"/>
    <x v="1"/>
    <s v="NORMAL"/>
    <x v="0"/>
  </r>
  <r>
    <n v="265"/>
    <d v="2026-07-19T00:00:00"/>
    <n v="7"/>
    <n v="1"/>
    <n v="31.8"/>
    <n v="3021"/>
    <x v="6"/>
    <x v="0"/>
    <s v="NORMAL"/>
    <x v="0"/>
  </r>
  <r>
    <n v="266"/>
    <d v="2026-07-19T00:00:00"/>
    <n v="7"/>
    <n v="2"/>
    <n v="28.1"/>
    <n v="2670"/>
    <x v="6"/>
    <x v="1"/>
    <s v="NORMAL"/>
    <x v="0"/>
  </r>
  <r>
    <n v="267"/>
    <d v="2026-07-20T00:00:00"/>
    <n v="1"/>
    <n v="1"/>
    <n v="9.9"/>
    <n v="594"/>
    <x v="0"/>
    <x v="0"/>
    <s v="NORMAL"/>
    <x v="0"/>
  </r>
  <r>
    <n v="268"/>
    <d v="2026-07-20T00:00:00"/>
    <n v="1"/>
    <n v="2"/>
    <n v="15.6"/>
    <n v="936"/>
    <x v="0"/>
    <x v="1"/>
    <s v="NORMAL"/>
    <x v="0"/>
  </r>
  <r>
    <n v="269"/>
    <d v="2026-07-20T00:00:00"/>
    <n v="2"/>
    <n v="1"/>
    <n v="24.6"/>
    <n v="2214"/>
    <x v="1"/>
    <x v="0"/>
    <s v="NORMAL"/>
    <x v="0"/>
  </r>
  <r>
    <n v="270"/>
    <d v="2026-07-20T00:00:00"/>
    <n v="2"/>
    <n v="2"/>
    <n v="34.299999999999997"/>
    <n v="3087"/>
    <x v="1"/>
    <x v="1"/>
    <s v="NORMAL"/>
    <x v="0"/>
  </r>
  <r>
    <n v="271"/>
    <d v="2026-07-20T00:00:00"/>
    <n v="3"/>
    <n v="1"/>
    <n v="10.7"/>
    <n v="856"/>
    <x v="2"/>
    <x v="0"/>
    <s v="NORMAL"/>
    <x v="0"/>
  </r>
  <r>
    <n v="272"/>
    <d v="2026-07-20T00:00:00"/>
    <n v="3"/>
    <n v="2"/>
    <n v="11.8"/>
    <n v="944"/>
    <x v="2"/>
    <x v="1"/>
    <s v="NORMAL"/>
    <x v="0"/>
  </r>
  <r>
    <n v="273"/>
    <d v="2026-07-20T00:00:00"/>
    <n v="4"/>
    <n v="1"/>
    <n v="52.9"/>
    <n v="1322"/>
    <x v="3"/>
    <x v="0"/>
    <s v="BIG"/>
    <x v="0"/>
  </r>
  <r>
    <n v="274"/>
    <d v="2026-07-20T00:00:00"/>
    <n v="4"/>
    <n v="2"/>
    <n v="58.3"/>
    <n v="1458"/>
    <x v="3"/>
    <x v="1"/>
    <s v="BIG"/>
    <x v="0"/>
  </r>
  <r>
    <n v="275"/>
    <d v="2026-07-20T00:00:00"/>
    <n v="5"/>
    <n v="1"/>
    <n v="5.3"/>
    <n v="583"/>
    <x v="4"/>
    <x v="0"/>
    <s v="NORMAL"/>
    <x v="0"/>
  </r>
  <r>
    <n v="276"/>
    <d v="2026-07-20T00:00:00"/>
    <n v="5"/>
    <n v="2"/>
    <n v="7.5"/>
    <n v="825"/>
    <x v="4"/>
    <x v="1"/>
    <s v="NORMAL"/>
    <x v="0"/>
  </r>
  <r>
    <n v="277"/>
    <d v="2026-07-20T00:00:00"/>
    <n v="6"/>
    <n v="1"/>
    <n v="9.6"/>
    <n v="2112"/>
    <x v="5"/>
    <x v="0"/>
    <s v="NORMAL"/>
    <x v="0"/>
  </r>
  <r>
    <n v="278"/>
    <d v="2026-07-20T00:00:00"/>
    <n v="6"/>
    <n v="2"/>
    <n v="13"/>
    <n v="2860"/>
    <x v="5"/>
    <x v="1"/>
    <s v="NORMAL"/>
    <x v="0"/>
  </r>
  <r>
    <n v="279"/>
    <d v="2026-07-20T00:00:00"/>
    <n v="7"/>
    <n v="1"/>
    <n v="21.2"/>
    <n v="2014"/>
    <x v="6"/>
    <x v="0"/>
    <s v="NORMAL"/>
    <x v="0"/>
  </r>
  <r>
    <n v="280"/>
    <d v="2026-07-20T00:00:00"/>
    <n v="7"/>
    <n v="2"/>
    <n v="39.1"/>
    <n v="3714"/>
    <x v="6"/>
    <x v="1"/>
    <s v="NORMAL"/>
    <x v="0"/>
  </r>
  <r>
    <n v="281"/>
    <d v="2026-07-21T00:00:00"/>
    <n v="1"/>
    <n v="1"/>
    <n v="17.5"/>
    <n v="1050"/>
    <x v="0"/>
    <x v="0"/>
    <s v="NORMAL"/>
    <x v="0"/>
  </r>
  <r>
    <n v="282"/>
    <d v="2026-07-21T00:00:00"/>
    <n v="1"/>
    <n v="2"/>
    <n v="21.9"/>
    <n v="1314"/>
    <x v="0"/>
    <x v="1"/>
    <s v="NORMAL"/>
    <x v="0"/>
  </r>
  <r>
    <n v="283"/>
    <d v="2026-07-21T00:00:00"/>
    <n v="2"/>
    <n v="1"/>
    <n v="22.4"/>
    <n v="2016"/>
    <x v="1"/>
    <x v="0"/>
    <s v="NORMAL"/>
    <x v="0"/>
  </r>
  <r>
    <n v="284"/>
    <d v="2026-07-21T00:00:00"/>
    <n v="2"/>
    <n v="2"/>
    <n v="30.9"/>
    <n v="2781"/>
    <x v="1"/>
    <x v="1"/>
    <s v="NORMAL"/>
    <x v="0"/>
  </r>
  <r>
    <n v="285"/>
    <d v="2026-07-21T00:00:00"/>
    <n v="3"/>
    <n v="1"/>
    <n v="5.7"/>
    <n v="456"/>
    <x v="2"/>
    <x v="0"/>
    <s v="NORMAL"/>
    <x v="0"/>
  </r>
  <r>
    <n v="286"/>
    <d v="2026-07-21T00:00:00"/>
    <n v="3"/>
    <n v="2"/>
    <n v="14.4"/>
    <n v="1152"/>
    <x v="2"/>
    <x v="1"/>
    <s v="NORMAL"/>
    <x v="0"/>
  </r>
  <r>
    <n v="287"/>
    <d v="2026-07-21T00:00:00"/>
    <n v="4"/>
    <n v="1"/>
    <n v="73.5"/>
    <n v="1838"/>
    <x v="3"/>
    <x v="0"/>
    <s v="BIG"/>
    <x v="0"/>
  </r>
  <r>
    <n v="288"/>
    <d v="2026-07-21T00:00:00"/>
    <n v="4"/>
    <n v="2"/>
    <n v="90.9"/>
    <n v="2272"/>
    <x v="3"/>
    <x v="1"/>
    <s v="BIG"/>
    <x v="0"/>
  </r>
  <r>
    <n v="289"/>
    <d v="2026-07-21T00:00:00"/>
    <n v="5"/>
    <n v="1"/>
    <n v="4.3"/>
    <n v="473"/>
    <x v="4"/>
    <x v="0"/>
    <s v="NORMAL"/>
    <x v="0"/>
  </r>
  <r>
    <n v="290"/>
    <d v="2026-07-21T00:00:00"/>
    <n v="5"/>
    <n v="2"/>
    <n v="7.5"/>
    <n v="825"/>
    <x v="4"/>
    <x v="1"/>
    <s v="NORMAL"/>
    <x v="0"/>
  </r>
  <r>
    <n v="291"/>
    <d v="2026-07-21T00:00:00"/>
    <n v="6"/>
    <n v="1"/>
    <n v="10.7"/>
    <n v="2354"/>
    <x v="5"/>
    <x v="0"/>
    <s v="NORMAL"/>
    <x v="0"/>
  </r>
  <r>
    <n v="292"/>
    <d v="2026-07-21T00:00:00"/>
    <n v="6"/>
    <n v="2"/>
    <n v="11.3"/>
    <n v="2486"/>
    <x v="5"/>
    <x v="1"/>
    <s v="NORMAL"/>
    <x v="0"/>
  </r>
  <r>
    <n v="293"/>
    <d v="2026-07-21T00:00:00"/>
    <n v="7"/>
    <n v="1"/>
    <n v="19.8"/>
    <n v="1881"/>
    <x v="6"/>
    <x v="0"/>
    <s v="NORMAL"/>
    <x v="0"/>
  </r>
  <r>
    <n v="294"/>
    <d v="2026-07-21T00:00:00"/>
    <n v="7"/>
    <n v="2"/>
    <n v="27.2"/>
    <n v="2584"/>
    <x v="6"/>
    <x v="1"/>
    <s v="NORMAL"/>
    <x v="0"/>
  </r>
  <r>
    <n v="295"/>
    <d v="2026-07-22T00:00:00"/>
    <n v="1"/>
    <n v="1"/>
    <n v="17.7"/>
    <n v="1062"/>
    <x v="0"/>
    <x v="0"/>
    <s v="NORMAL"/>
    <x v="0"/>
  </r>
  <r>
    <n v="296"/>
    <d v="2026-07-22T00:00:00"/>
    <n v="1"/>
    <n v="2"/>
    <n v="18.8"/>
    <n v="1128"/>
    <x v="0"/>
    <x v="1"/>
    <s v="NORMAL"/>
    <x v="0"/>
  </r>
  <r>
    <n v="297"/>
    <d v="2026-07-22T00:00:00"/>
    <n v="2"/>
    <n v="1"/>
    <n v="24.4"/>
    <n v="2196"/>
    <x v="1"/>
    <x v="0"/>
    <s v="NORMAL"/>
    <x v="0"/>
  </r>
  <r>
    <n v="298"/>
    <d v="2026-07-22T00:00:00"/>
    <n v="2"/>
    <n v="2"/>
    <n v="35.4"/>
    <n v="3186"/>
    <x v="1"/>
    <x v="1"/>
    <s v="NORMAL"/>
    <x v="0"/>
  </r>
  <r>
    <n v="299"/>
    <d v="2026-07-22T00:00:00"/>
    <n v="3"/>
    <n v="1"/>
    <n v="13.7"/>
    <n v="1096"/>
    <x v="2"/>
    <x v="0"/>
    <s v="NORMAL"/>
    <x v="0"/>
  </r>
  <r>
    <n v="300"/>
    <d v="2026-07-22T00:00:00"/>
    <n v="3"/>
    <n v="2"/>
    <n v="16.600000000000001"/>
    <n v="1328"/>
    <x v="2"/>
    <x v="1"/>
    <s v="NORMAL"/>
    <x v="0"/>
  </r>
  <r>
    <n v="301"/>
    <d v="2026-07-22T00:00:00"/>
    <n v="4"/>
    <n v="1"/>
    <n v="84.5"/>
    <n v="2112"/>
    <x v="3"/>
    <x v="0"/>
    <s v="BIG"/>
    <x v="0"/>
  </r>
  <r>
    <n v="302"/>
    <d v="2026-07-22T00:00:00"/>
    <n v="4"/>
    <n v="2"/>
    <n v="84"/>
    <n v="2100"/>
    <x v="3"/>
    <x v="1"/>
    <s v="BIG"/>
    <x v="0"/>
  </r>
  <r>
    <n v="303"/>
    <d v="2026-07-22T00:00:00"/>
    <n v="5"/>
    <n v="1"/>
    <n v="5.7"/>
    <n v="627"/>
    <x v="4"/>
    <x v="0"/>
    <s v="NORMAL"/>
    <x v="0"/>
  </r>
  <r>
    <n v="304"/>
    <d v="2026-07-22T00:00:00"/>
    <n v="5"/>
    <n v="2"/>
    <n v="5.4"/>
    <n v="594"/>
    <x v="4"/>
    <x v="1"/>
    <s v="NORMAL"/>
    <x v="0"/>
  </r>
  <r>
    <n v="305"/>
    <d v="2026-07-22T00:00:00"/>
    <n v="6"/>
    <n v="1"/>
    <n v="8.5"/>
    <n v="1870"/>
    <x v="5"/>
    <x v="0"/>
    <s v="NORMAL"/>
    <x v="0"/>
  </r>
  <r>
    <n v="306"/>
    <d v="2026-07-22T00:00:00"/>
    <n v="6"/>
    <n v="2"/>
    <n v="12.1"/>
    <n v="2662"/>
    <x v="5"/>
    <x v="1"/>
    <s v="NORMAL"/>
    <x v="0"/>
  </r>
  <r>
    <n v="307"/>
    <d v="2026-07-22T00:00:00"/>
    <n v="7"/>
    <n v="1"/>
    <n v="18.600000000000001"/>
    <n v="1767"/>
    <x v="6"/>
    <x v="0"/>
    <s v="NORMAL"/>
    <x v="0"/>
  </r>
  <r>
    <n v="308"/>
    <d v="2026-07-22T00:00:00"/>
    <n v="7"/>
    <n v="2"/>
    <n v="43.1"/>
    <n v="4094"/>
    <x v="6"/>
    <x v="1"/>
    <s v="NORMAL"/>
    <x v="0"/>
  </r>
  <r>
    <n v="309"/>
    <d v="2026-07-23T00:00:00"/>
    <n v="1"/>
    <n v="1"/>
    <n v="20"/>
    <n v="1200"/>
    <x v="0"/>
    <x v="0"/>
    <s v="NORMAL"/>
    <x v="0"/>
  </r>
  <r>
    <n v="310"/>
    <d v="2026-07-23T00:00:00"/>
    <n v="1"/>
    <n v="2"/>
    <n v="15.6"/>
    <n v="936"/>
    <x v="0"/>
    <x v="1"/>
    <s v="NORMAL"/>
    <x v="0"/>
  </r>
  <r>
    <n v="311"/>
    <d v="2026-07-23T00:00:00"/>
    <n v="2"/>
    <n v="1"/>
    <n v="27.8"/>
    <n v="2502"/>
    <x v="1"/>
    <x v="0"/>
    <s v="NORMAL"/>
    <x v="0"/>
  </r>
  <r>
    <n v="312"/>
    <d v="2026-07-23T00:00:00"/>
    <n v="2"/>
    <n v="2"/>
    <n v="32.1"/>
    <n v="2889"/>
    <x v="1"/>
    <x v="1"/>
    <s v="NORMAL"/>
    <x v="0"/>
  </r>
  <r>
    <n v="313"/>
    <d v="2026-07-23T00:00:00"/>
    <n v="3"/>
    <n v="1"/>
    <n v="10"/>
    <n v="800"/>
    <x v="2"/>
    <x v="0"/>
    <s v="NORMAL"/>
    <x v="0"/>
  </r>
  <r>
    <n v="314"/>
    <d v="2026-07-23T00:00:00"/>
    <n v="3"/>
    <n v="2"/>
    <n v="15.3"/>
    <n v="1224"/>
    <x v="2"/>
    <x v="1"/>
    <s v="NORMAL"/>
    <x v="0"/>
  </r>
  <r>
    <n v="315"/>
    <d v="2026-07-23T00:00:00"/>
    <n v="4"/>
    <n v="1"/>
    <n v="75.5"/>
    <n v="1888"/>
    <x v="3"/>
    <x v="0"/>
    <s v="BIG"/>
    <x v="0"/>
  </r>
  <r>
    <n v="316"/>
    <d v="2026-07-23T00:00:00"/>
    <n v="4"/>
    <n v="2"/>
    <n v="58"/>
    <n v="1450"/>
    <x v="3"/>
    <x v="1"/>
    <s v="BIG"/>
    <x v="0"/>
  </r>
  <r>
    <n v="317"/>
    <d v="2026-07-23T00:00:00"/>
    <n v="5"/>
    <n v="1"/>
    <n v="3.8"/>
    <n v="418"/>
    <x v="4"/>
    <x v="0"/>
    <s v="NORMAL"/>
    <x v="0"/>
  </r>
  <r>
    <n v="318"/>
    <d v="2026-07-23T00:00:00"/>
    <n v="5"/>
    <n v="2"/>
    <n v="8.1"/>
    <n v="891"/>
    <x v="4"/>
    <x v="1"/>
    <s v="NORMAL"/>
    <x v="0"/>
  </r>
  <r>
    <n v="319"/>
    <d v="2026-07-23T00:00:00"/>
    <n v="6"/>
    <n v="1"/>
    <n v="10.1"/>
    <n v="2222"/>
    <x v="5"/>
    <x v="0"/>
    <s v="NORMAL"/>
    <x v="0"/>
  </r>
  <r>
    <n v="320"/>
    <d v="2026-07-23T00:00:00"/>
    <n v="6"/>
    <n v="2"/>
    <n v="15.5"/>
    <n v="3410"/>
    <x v="5"/>
    <x v="1"/>
    <s v="NORMAL"/>
    <x v="0"/>
  </r>
  <r>
    <n v="321"/>
    <d v="2026-07-23T00:00:00"/>
    <n v="7"/>
    <n v="1"/>
    <n v="29.9"/>
    <n v="2840"/>
    <x v="6"/>
    <x v="0"/>
    <s v="NORMAL"/>
    <x v="0"/>
  </r>
  <r>
    <n v="322"/>
    <d v="2026-07-23T00:00:00"/>
    <n v="7"/>
    <n v="2"/>
    <n v="18.100000000000001"/>
    <n v="1720"/>
    <x v="6"/>
    <x v="1"/>
    <s v="NORMAL"/>
    <x v="0"/>
  </r>
  <r>
    <n v="323"/>
    <d v="2026-07-24T00:00:00"/>
    <n v="1"/>
    <n v="1"/>
    <n v="20.8"/>
    <n v="1248"/>
    <x v="0"/>
    <x v="0"/>
    <s v="NORMAL"/>
    <x v="0"/>
  </r>
  <r>
    <n v="324"/>
    <d v="2026-07-24T00:00:00"/>
    <n v="1"/>
    <n v="2"/>
    <n v="15.5"/>
    <n v="930"/>
    <x v="0"/>
    <x v="1"/>
    <s v="NORMAL"/>
    <x v="0"/>
  </r>
  <r>
    <n v="325"/>
    <d v="2026-07-24T00:00:00"/>
    <n v="2"/>
    <n v="1"/>
    <n v="33.1"/>
    <n v="2979"/>
    <x v="1"/>
    <x v="0"/>
    <s v="NORMAL"/>
    <x v="0"/>
  </r>
  <r>
    <n v="326"/>
    <d v="2026-07-24T00:00:00"/>
    <n v="2"/>
    <n v="2"/>
    <n v="36.799999999999997"/>
    <n v="3312"/>
    <x v="1"/>
    <x v="1"/>
    <s v="NORMAL"/>
    <x v="0"/>
  </r>
  <r>
    <n v="327"/>
    <d v="2026-07-24T00:00:00"/>
    <n v="3"/>
    <n v="1"/>
    <n v="7.7"/>
    <n v="616"/>
    <x v="2"/>
    <x v="0"/>
    <s v="NORMAL"/>
    <x v="0"/>
  </r>
  <r>
    <n v="328"/>
    <d v="2026-07-24T00:00:00"/>
    <n v="3"/>
    <n v="2"/>
    <n v="19.600000000000001"/>
    <n v="1568"/>
    <x v="2"/>
    <x v="1"/>
    <s v="NORMAL"/>
    <x v="0"/>
  </r>
  <r>
    <n v="329"/>
    <d v="2026-07-24T00:00:00"/>
    <n v="4"/>
    <n v="1"/>
    <n v="79"/>
    <n v="1975"/>
    <x v="3"/>
    <x v="0"/>
    <s v="BIG"/>
    <x v="0"/>
  </r>
  <r>
    <n v="330"/>
    <d v="2026-07-24T00:00:00"/>
    <n v="4"/>
    <n v="2"/>
    <n v="60.9"/>
    <n v="1522"/>
    <x v="3"/>
    <x v="1"/>
    <s v="BIG"/>
    <x v="0"/>
  </r>
  <r>
    <n v="331"/>
    <d v="2026-07-24T00:00:00"/>
    <n v="5"/>
    <n v="1"/>
    <n v="5.3"/>
    <n v="583"/>
    <x v="4"/>
    <x v="0"/>
    <s v="NORMAL"/>
    <x v="0"/>
  </r>
  <r>
    <n v="332"/>
    <d v="2026-07-24T00:00:00"/>
    <n v="5"/>
    <n v="2"/>
    <n v="6"/>
    <n v="660"/>
    <x v="4"/>
    <x v="1"/>
    <s v="NORMAL"/>
    <x v="0"/>
  </r>
  <r>
    <n v="333"/>
    <d v="2026-07-24T00:00:00"/>
    <n v="6"/>
    <n v="1"/>
    <n v="8.1999999999999993"/>
    <n v="1804"/>
    <x v="5"/>
    <x v="0"/>
    <s v="NORMAL"/>
    <x v="0"/>
  </r>
  <r>
    <n v="334"/>
    <d v="2026-07-24T00:00:00"/>
    <n v="6"/>
    <n v="2"/>
    <n v="10.199999999999999"/>
    <n v="2244"/>
    <x v="5"/>
    <x v="1"/>
    <s v="NORMAL"/>
    <x v="0"/>
  </r>
  <r>
    <n v="335"/>
    <d v="2026-07-24T00:00:00"/>
    <n v="7"/>
    <n v="1"/>
    <n v="28"/>
    <n v="2660"/>
    <x v="6"/>
    <x v="0"/>
    <s v="NORMAL"/>
    <x v="0"/>
  </r>
  <r>
    <n v="336"/>
    <d v="2026-07-24T00:00:00"/>
    <n v="7"/>
    <n v="2"/>
    <n v="22"/>
    <n v="2090"/>
    <x v="6"/>
    <x v="1"/>
    <s v="NORMAL"/>
    <x v="0"/>
  </r>
  <r>
    <n v="337"/>
    <d v="2026-07-25T00:00:00"/>
    <n v="1"/>
    <n v="1"/>
    <n v="23.9"/>
    <n v="1434"/>
    <x v="0"/>
    <x v="0"/>
    <s v="NORMAL"/>
    <x v="0"/>
  </r>
  <r>
    <n v="338"/>
    <d v="2026-07-25T00:00:00"/>
    <n v="1"/>
    <n v="2"/>
    <n v="42.9"/>
    <n v="2574"/>
    <x v="0"/>
    <x v="1"/>
    <s v="NORMAL"/>
    <x v="0"/>
  </r>
  <r>
    <n v="339"/>
    <d v="2026-07-25T00:00:00"/>
    <n v="2"/>
    <n v="1"/>
    <n v="26.1"/>
    <n v="2349"/>
    <x v="1"/>
    <x v="0"/>
    <s v="NORMAL"/>
    <x v="0"/>
  </r>
  <r>
    <n v="340"/>
    <d v="2026-07-25T00:00:00"/>
    <n v="2"/>
    <n v="2"/>
    <n v="45.6"/>
    <n v="4104"/>
    <x v="1"/>
    <x v="1"/>
    <s v="NORMAL"/>
    <x v="0"/>
  </r>
  <r>
    <n v="341"/>
    <d v="2026-07-25T00:00:00"/>
    <n v="3"/>
    <n v="1"/>
    <n v="13"/>
    <n v="1040"/>
    <x v="2"/>
    <x v="0"/>
    <s v="NORMAL"/>
    <x v="0"/>
  </r>
  <r>
    <n v="342"/>
    <d v="2026-07-25T00:00:00"/>
    <n v="3"/>
    <n v="2"/>
    <n v="15.1"/>
    <n v="1208"/>
    <x v="2"/>
    <x v="1"/>
    <s v="NORMAL"/>
    <x v="0"/>
  </r>
  <r>
    <n v="343"/>
    <d v="2026-07-25T00:00:00"/>
    <n v="4"/>
    <n v="1"/>
    <n v="98.8"/>
    <n v="2470"/>
    <x v="3"/>
    <x v="0"/>
    <s v="BIG"/>
    <x v="0"/>
  </r>
  <r>
    <n v="344"/>
    <d v="2026-07-25T00:00:00"/>
    <n v="4"/>
    <n v="2"/>
    <n v="124.9"/>
    <n v="3122"/>
    <x v="3"/>
    <x v="1"/>
    <s v="BIG"/>
    <x v="0"/>
  </r>
  <r>
    <n v="345"/>
    <d v="2026-07-25T00:00:00"/>
    <n v="5"/>
    <n v="1"/>
    <n v="5.0999999999999996"/>
    <n v="561"/>
    <x v="4"/>
    <x v="0"/>
    <s v="NORMAL"/>
    <x v="0"/>
  </r>
  <r>
    <n v="346"/>
    <d v="2026-07-25T00:00:00"/>
    <n v="5"/>
    <n v="2"/>
    <n v="11.8"/>
    <n v="1298"/>
    <x v="4"/>
    <x v="1"/>
    <s v="NORMAL"/>
    <x v="0"/>
  </r>
  <r>
    <n v="347"/>
    <d v="2026-07-25T00:00:00"/>
    <n v="6"/>
    <n v="1"/>
    <n v="11.6"/>
    <n v="2552"/>
    <x v="5"/>
    <x v="0"/>
    <s v="NORMAL"/>
    <x v="0"/>
  </r>
  <r>
    <n v="348"/>
    <d v="2026-07-25T00:00:00"/>
    <n v="6"/>
    <n v="2"/>
    <n v="13.5"/>
    <n v="2970"/>
    <x v="5"/>
    <x v="1"/>
    <s v="NORMAL"/>
    <x v="0"/>
  </r>
  <r>
    <n v="349"/>
    <d v="2026-07-25T00:00:00"/>
    <n v="7"/>
    <n v="1"/>
    <n v="24"/>
    <n v="2280"/>
    <x v="6"/>
    <x v="0"/>
    <s v="NORMAL"/>
    <x v="0"/>
  </r>
  <r>
    <n v="350"/>
    <d v="2026-07-25T00:00:00"/>
    <n v="7"/>
    <n v="2"/>
    <n v="32.5"/>
    <n v="3088"/>
    <x v="6"/>
    <x v="1"/>
    <s v="NORMAL"/>
    <x v="0"/>
  </r>
  <r>
    <n v="351"/>
    <d v="2026-07-26T00:00:00"/>
    <n v="1"/>
    <n v="1"/>
    <n v="28"/>
    <n v="1680"/>
    <x v="0"/>
    <x v="0"/>
    <s v="NORMAL"/>
    <x v="0"/>
  </r>
  <r>
    <n v="352"/>
    <d v="2026-07-26T00:00:00"/>
    <n v="1"/>
    <n v="2"/>
    <n v="30.6"/>
    <n v="1836"/>
    <x v="0"/>
    <x v="1"/>
    <s v="NORMAL"/>
    <x v="0"/>
  </r>
  <r>
    <n v="353"/>
    <d v="2026-07-26T00:00:00"/>
    <n v="2"/>
    <n v="1"/>
    <n v="34.1"/>
    <n v="3069"/>
    <x v="1"/>
    <x v="0"/>
    <s v="NORMAL"/>
    <x v="0"/>
  </r>
  <r>
    <n v="354"/>
    <d v="2026-07-26T00:00:00"/>
    <n v="2"/>
    <n v="2"/>
    <n v="42.1"/>
    <n v="3789"/>
    <x v="1"/>
    <x v="1"/>
    <s v="NORMAL"/>
    <x v="0"/>
  </r>
  <r>
    <n v="355"/>
    <d v="2026-07-26T00:00:00"/>
    <n v="3"/>
    <n v="1"/>
    <n v="14"/>
    <n v="1120"/>
    <x v="2"/>
    <x v="0"/>
    <s v="NORMAL"/>
    <x v="0"/>
  </r>
  <r>
    <n v="356"/>
    <d v="2026-07-26T00:00:00"/>
    <n v="3"/>
    <n v="2"/>
    <n v="17.100000000000001"/>
    <n v="1368"/>
    <x v="2"/>
    <x v="1"/>
    <s v="NORMAL"/>
    <x v="0"/>
  </r>
  <r>
    <n v="357"/>
    <d v="2026-07-26T00:00:00"/>
    <n v="4"/>
    <n v="1"/>
    <n v="100.9"/>
    <n v="2522"/>
    <x v="3"/>
    <x v="0"/>
    <s v="BIG"/>
    <x v="0"/>
  </r>
  <r>
    <n v="358"/>
    <d v="2026-07-26T00:00:00"/>
    <n v="4"/>
    <n v="2"/>
    <n v="118"/>
    <n v="2950"/>
    <x v="3"/>
    <x v="1"/>
    <s v="BIG"/>
    <x v="0"/>
  </r>
  <r>
    <n v="359"/>
    <d v="2026-07-26T00:00:00"/>
    <n v="5"/>
    <n v="1"/>
    <n v="7.3"/>
    <n v="803"/>
    <x v="4"/>
    <x v="0"/>
    <s v="NORMAL"/>
    <x v="0"/>
  </r>
  <r>
    <n v="360"/>
    <d v="2026-07-26T00:00:00"/>
    <n v="5"/>
    <n v="2"/>
    <n v="9.9"/>
    <n v="1089"/>
    <x v="4"/>
    <x v="1"/>
    <s v="NORMAL"/>
    <x v="0"/>
  </r>
  <r>
    <n v="361"/>
    <d v="2026-07-26T00:00:00"/>
    <n v="6"/>
    <n v="1"/>
    <n v="9.8000000000000007"/>
    <n v="2156"/>
    <x v="5"/>
    <x v="0"/>
    <s v="NORMAL"/>
    <x v="0"/>
  </r>
  <r>
    <n v="362"/>
    <d v="2026-07-26T00:00:00"/>
    <n v="6"/>
    <n v="2"/>
    <n v="11.6"/>
    <n v="2552"/>
    <x v="5"/>
    <x v="1"/>
    <s v="NORMAL"/>
    <x v="0"/>
  </r>
  <r>
    <n v="363"/>
    <d v="2026-07-26T00:00:00"/>
    <n v="7"/>
    <n v="1"/>
    <n v="22.3"/>
    <n v="2118"/>
    <x v="6"/>
    <x v="0"/>
    <s v="NORMAL"/>
    <x v="0"/>
  </r>
  <r>
    <n v="364"/>
    <d v="2026-07-26T00:00:00"/>
    <n v="7"/>
    <n v="2"/>
    <n v="32.799999999999997"/>
    <n v="3116"/>
    <x v="6"/>
    <x v="1"/>
    <s v="NORMAL"/>
    <x v="0"/>
  </r>
  <r>
    <n v="365"/>
    <d v="2026-07-27T00:00:00"/>
    <n v="1"/>
    <n v="1"/>
    <n v="14.5"/>
    <n v="870"/>
    <x v="0"/>
    <x v="0"/>
    <s v="NORMAL"/>
    <x v="0"/>
  </r>
  <r>
    <n v="366"/>
    <d v="2026-07-27T00:00:00"/>
    <n v="1"/>
    <n v="2"/>
    <n v="29.6"/>
    <n v="1776"/>
    <x v="0"/>
    <x v="1"/>
    <s v="NORMAL"/>
    <x v="0"/>
  </r>
  <r>
    <n v="367"/>
    <d v="2026-07-27T00:00:00"/>
    <n v="2"/>
    <n v="1"/>
    <n v="24.8"/>
    <n v="2232"/>
    <x v="1"/>
    <x v="0"/>
    <s v="NORMAL"/>
    <x v="0"/>
  </r>
  <r>
    <n v="368"/>
    <d v="2026-07-27T00:00:00"/>
    <n v="2"/>
    <n v="2"/>
    <n v="46"/>
    <n v="4140"/>
    <x v="1"/>
    <x v="1"/>
    <s v="NORMAL"/>
    <x v="0"/>
  </r>
  <r>
    <n v="369"/>
    <d v="2026-07-27T00:00:00"/>
    <n v="3"/>
    <n v="1"/>
    <n v="14.6"/>
    <n v="1168"/>
    <x v="2"/>
    <x v="0"/>
    <s v="NORMAL"/>
    <x v="0"/>
  </r>
  <r>
    <n v="370"/>
    <d v="2026-07-27T00:00:00"/>
    <n v="3"/>
    <n v="2"/>
    <n v="14.1"/>
    <n v="1128"/>
    <x v="2"/>
    <x v="1"/>
    <s v="NORMAL"/>
    <x v="0"/>
  </r>
  <r>
    <n v="371"/>
    <d v="2026-07-27T00:00:00"/>
    <n v="4"/>
    <n v="1"/>
    <n v="48.3"/>
    <n v="1208"/>
    <x v="3"/>
    <x v="0"/>
    <s v="NORMAL"/>
    <x v="0"/>
  </r>
  <r>
    <n v="372"/>
    <d v="2026-07-27T00:00:00"/>
    <n v="4"/>
    <n v="2"/>
    <n v="90.5"/>
    <n v="2262"/>
    <x v="3"/>
    <x v="1"/>
    <s v="BIG"/>
    <x v="0"/>
  </r>
  <r>
    <n v="373"/>
    <d v="2026-07-27T00:00:00"/>
    <n v="5"/>
    <n v="1"/>
    <n v="4.9000000000000004"/>
    <n v="539"/>
    <x v="4"/>
    <x v="0"/>
    <s v="NORMAL"/>
    <x v="0"/>
  </r>
  <r>
    <n v="374"/>
    <d v="2026-07-27T00:00:00"/>
    <n v="5"/>
    <n v="2"/>
    <n v="4.9000000000000004"/>
    <n v="539"/>
    <x v="4"/>
    <x v="1"/>
    <s v="NORMAL"/>
    <x v="0"/>
  </r>
  <r>
    <n v="375"/>
    <d v="2026-07-27T00:00:00"/>
    <n v="6"/>
    <n v="1"/>
    <n v="7.6"/>
    <n v="1672"/>
    <x v="5"/>
    <x v="0"/>
    <s v="NORMAL"/>
    <x v="0"/>
  </r>
  <r>
    <n v="376"/>
    <d v="2026-07-27T00:00:00"/>
    <n v="6"/>
    <n v="2"/>
    <n v="11.8"/>
    <n v="2596"/>
    <x v="5"/>
    <x v="1"/>
    <s v="NORMAL"/>
    <x v="0"/>
  </r>
  <r>
    <n v="377"/>
    <d v="2026-07-27T00:00:00"/>
    <n v="7"/>
    <n v="1"/>
    <n v="20"/>
    <n v="1900"/>
    <x v="6"/>
    <x v="0"/>
    <s v="NORMAL"/>
    <x v="0"/>
  </r>
  <r>
    <n v="378"/>
    <d v="2026-07-27T00:00:00"/>
    <n v="7"/>
    <n v="2"/>
    <n v="26.1"/>
    <n v="2480"/>
    <x v="6"/>
    <x v="1"/>
    <s v="NORMAL"/>
    <x v="0"/>
  </r>
  <r>
    <n v="379"/>
    <d v="2026-07-28T00:00:00"/>
    <n v="1"/>
    <n v="1"/>
    <n v="15.3"/>
    <n v="918"/>
    <x v="0"/>
    <x v="0"/>
    <s v="NORMAL"/>
    <x v="0"/>
  </r>
  <r>
    <n v="380"/>
    <d v="2026-07-28T00:00:00"/>
    <n v="1"/>
    <n v="2"/>
    <n v="34.200000000000003"/>
    <n v="2052"/>
    <x v="0"/>
    <x v="1"/>
    <s v="NORMAL"/>
    <x v="0"/>
  </r>
  <r>
    <n v="381"/>
    <d v="2026-07-28T00:00:00"/>
    <n v="2"/>
    <n v="1"/>
    <n v="24.2"/>
    <n v="2178"/>
    <x v="1"/>
    <x v="0"/>
    <s v="NORMAL"/>
    <x v="0"/>
  </r>
  <r>
    <n v="382"/>
    <d v="2026-07-28T00:00:00"/>
    <n v="2"/>
    <n v="2"/>
    <n v="29.2"/>
    <n v="2628"/>
    <x v="1"/>
    <x v="1"/>
    <s v="NORMAL"/>
    <x v="0"/>
  </r>
  <r>
    <n v="383"/>
    <d v="2026-07-28T00:00:00"/>
    <n v="3"/>
    <n v="1"/>
    <n v="9.3000000000000007"/>
    <n v="744"/>
    <x v="2"/>
    <x v="0"/>
    <s v="NORMAL"/>
    <x v="0"/>
  </r>
  <r>
    <n v="384"/>
    <d v="2026-07-28T00:00:00"/>
    <n v="3"/>
    <n v="2"/>
    <n v="16.7"/>
    <n v="1336"/>
    <x v="2"/>
    <x v="1"/>
    <s v="NORMAL"/>
    <x v="0"/>
  </r>
  <r>
    <n v="385"/>
    <d v="2026-07-28T00:00:00"/>
    <n v="4"/>
    <n v="1"/>
    <n v="60.4"/>
    <n v="1510"/>
    <x v="3"/>
    <x v="0"/>
    <s v="BIG"/>
    <x v="0"/>
  </r>
  <r>
    <n v="386"/>
    <d v="2026-07-28T00:00:00"/>
    <n v="4"/>
    <n v="2"/>
    <n v="107.4"/>
    <n v="2685"/>
    <x v="3"/>
    <x v="1"/>
    <s v="BIG"/>
    <x v="0"/>
  </r>
  <r>
    <n v="387"/>
    <d v="2026-07-28T00:00:00"/>
    <n v="5"/>
    <n v="1"/>
    <n v="5.7"/>
    <n v="627"/>
    <x v="4"/>
    <x v="0"/>
    <s v="NORMAL"/>
    <x v="0"/>
  </r>
  <r>
    <n v="388"/>
    <d v="2026-07-28T00:00:00"/>
    <n v="5"/>
    <n v="2"/>
    <n v="8"/>
    <n v="880"/>
    <x v="4"/>
    <x v="1"/>
    <s v="NORMAL"/>
    <x v="0"/>
  </r>
  <r>
    <n v="389"/>
    <d v="2026-07-28T00:00:00"/>
    <n v="6"/>
    <n v="1"/>
    <n v="10.199999999999999"/>
    <n v="2244"/>
    <x v="5"/>
    <x v="0"/>
    <s v="NORMAL"/>
    <x v="0"/>
  </r>
  <r>
    <n v="390"/>
    <d v="2026-07-28T00:00:00"/>
    <n v="6"/>
    <n v="2"/>
    <n v="10"/>
    <n v="2200"/>
    <x v="5"/>
    <x v="1"/>
    <s v="NORMAL"/>
    <x v="0"/>
  </r>
  <r>
    <n v="391"/>
    <d v="2026-07-28T00:00:00"/>
    <n v="7"/>
    <n v="1"/>
    <n v="27"/>
    <n v="2565"/>
    <x v="6"/>
    <x v="0"/>
    <s v="NORMAL"/>
    <x v="0"/>
  </r>
  <r>
    <n v="392"/>
    <d v="2026-07-28T00:00:00"/>
    <n v="7"/>
    <n v="2"/>
    <n v="25.9"/>
    <n v="2460"/>
    <x v="6"/>
    <x v="1"/>
    <s v="NORMAL"/>
    <x v="0"/>
  </r>
  <r>
    <n v="393"/>
    <d v="2026-07-29T00:00:00"/>
    <n v="1"/>
    <n v="1"/>
    <n v="16.600000000000001"/>
    <n v="996"/>
    <x v="0"/>
    <x v="0"/>
    <s v="NORMAL"/>
    <x v="0"/>
  </r>
  <r>
    <n v="394"/>
    <d v="2026-07-29T00:00:00"/>
    <n v="1"/>
    <n v="2"/>
    <n v="31.2"/>
    <n v="1872"/>
    <x v="0"/>
    <x v="1"/>
    <s v="NORMAL"/>
    <x v="0"/>
  </r>
  <r>
    <n v="395"/>
    <d v="2026-07-29T00:00:00"/>
    <n v="2"/>
    <n v="1"/>
    <n v="29.1"/>
    <n v="2619"/>
    <x v="1"/>
    <x v="0"/>
    <s v="NORMAL"/>
    <x v="0"/>
  </r>
  <r>
    <n v="396"/>
    <d v="2026-07-29T00:00:00"/>
    <n v="2"/>
    <n v="2"/>
    <n v="35"/>
    <n v="3150"/>
    <x v="1"/>
    <x v="1"/>
    <s v="NORMAL"/>
    <x v="0"/>
  </r>
  <r>
    <n v="397"/>
    <d v="2026-07-29T00:00:00"/>
    <n v="3"/>
    <n v="1"/>
    <n v="7.6"/>
    <n v="608"/>
    <x v="2"/>
    <x v="0"/>
    <s v="NORMAL"/>
    <x v="0"/>
  </r>
  <r>
    <n v="398"/>
    <d v="2026-07-29T00:00:00"/>
    <n v="3"/>
    <n v="2"/>
    <n v="15.6"/>
    <n v="1248"/>
    <x v="2"/>
    <x v="1"/>
    <s v="NORMAL"/>
    <x v="0"/>
  </r>
  <r>
    <n v="399"/>
    <d v="2026-07-29T00:00:00"/>
    <n v="4"/>
    <n v="1"/>
    <n v="61.2"/>
    <n v="1530"/>
    <x v="3"/>
    <x v="0"/>
    <s v="BIG"/>
    <x v="0"/>
  </r>
  <r>
    <n v="400"/>
    <d v="2026-07-29T00:00:00"/>
    <n v="4"/>
    <n v="2"/>
    <n v="79.900000000000006"/>
    <n v="1998"/>
    <x v="3"/>
    <x v="1"/>
    <s v="BIG"/>
    <x v="0"/>
  </r>
  <r>
    <n v="401"/>
    <d v="2026-07-29T00:00:00"/>
    <n v="5"/>
    <n v="1"/>
    <n v="4.4000000000000004"/>
    <n v="484"/>
    <x v="4"/>
    <x v="0"/>
    <s v="NORMAL"/>
    <x v="0"/>
  </r>
  <r>
    <n v="402"/>
    <d v="2026-07-29T00:00:00"/>
    <n v="5"/>
    <n v="2"/>
    <n v="7.3"/>
    <n v="803"/>
    <x v="4"/>
    <x v="1"/>
    <s v="NORMAL"/>
    <x v="0"/>
  </r>
  <r>
    <n v="403"/>
    <d v="2026-07-29T00:00:00"/>
    <n v="6"/>
    <n v="1"/>
    <n v="4.5999999999999996"/>
    <n v="1012"/>
    <x v="5"/>
    <x v="0"/>
    <s v="NORMAL"/>
    <x v="0"/>
  </r>
  <r>
    <n v="404"/>
    <d v="2026-07-29T00:00:00"/>
    <n v="6"/>
    <n v="2"/>
    <n v="12"/>
    <n v="2640"/>
    <x v="5"/>
    <x v="1"/>
    <s v="NORMAL"/>
    <x v="0"/>
  </r>
  <r>
    <n v="405"/>
    <d v="2026-07-29T00:00:00"/>
    <n v="7"/>
    <n v="1"/>
    <n v="22.8"/>
    <n v="2166"/>
    <x v="6"/>
    <x v="0"/>
    <s v="NORMAL"/>
    <x v="0"/>
  </r>
  <r>
    <n v="406"/>
    <d v="2026-07-29T00:00:00"/>
    <n v="7"/>
    <n v="2"/>
    <n v="27.2"/>
    <n v="2584"/>
    <x v="6"/>
    <x v="1"/>
    <s v="NORMAL"/>
    <x v="0"/>
  </r>
  <r>
    <n v="407"/>
    <d v="2026-07-30T00:00:00"/>
    <n v="1"/>
    <n v="1"/>
    <n v="21.7"/>
    <n v="1302"/>
    <x v="0"/>
    <x v="0"/>
    <s v="NORMAL"/>
    <x v="0"/>
  </r>
  <r>
    <n v="408"/>
    <d v="2026-07-30T00:00:00"/>
    <n v="1"/>
    <n v="2"/>
    <n v="28.3"/>
    <n v="1698"/>
    <x v="0"/>
    <x v="1"/>
    <s v="NORMAL"/>
    <x v="0"/>
  </r>
  <r>
    <n v="409"/>
    <d v="2026-07-30T00:00:00"/>
    <n v="2"/>
    <n v="1"/>
    <n v="22"/>
    <n v="1980"/>
    <x v="1"/>
    <x v="0"/>
    <s v="NORMAL"/>
    <x v="0"/>
  </r>
  <r>
    <n v="410"/>
    <d v="2026-07-30T00:00:00"/>
    <n v="2"/>
    <n v="2"/>
    <n v="30.3"/>
    <n v="2727"/>
    <x v="1"/>
    <x v="1"/>
    <s v="NORMAL"/>
    <x v="0"/>
  </r>
  <r>
    <n v="411"/>
    <d v="2026-07-30T00:00:00"/>
    <n v="3"/>
    <n v="1"/>
    <n v="11.4"/>
    <n v="912"/>
    <x v="2"/>
    <x v="0"/>
    <s v="NORMAL"/>
    <x v="0"/>
  </r>
  <r>
    <n v="412"/>
    <d v="2026-07-30T00:00:00"/>
    <n v="3"/>
    <n v="2"/>
    <n v="9.8000000000000007"/>
    <n v="784"/>
    <x v="2"/>
    <x v="1"/>
    <s v="NORMAL"/>
    <x v="0"/>
  </r>
  <r>
    <n v="413"/>
    <d v="2026-07-30T00:00:00"/>
    <n v="4"/>
    <n v="1"/>
    <n v="65.3"/>
    <n v="1632"/>
    <x v="3"/>
    <x v="0"/>
    <s v="BIG"/>
    <x v="0"/>
  </r>
  <r>
    <n v="414"/>
    <d v="2026-07-30T00:00:00"/>
    <n v="4"/>
    <n v="2"/>
    <n v="85.6"/>
    <n v="2140"/>
    <x v="3"/>
    <x v="1"/>
    <s v="BIG"/>
    <x v="0"/>
  </r>
  <r>
    <n v="415"/>
    <d v="2026-07-30T00:00:00"/>
    <n v="5"/>
    <n v="1"/>
    <n v="5.0999999999999996"/>
    <n v="561"/>
    <x v="4"/>
    <x v="0"/>
    <s v="NORMAL"/>
    <x v="0"/>
  </r>
  <r>
    <n v="416"/>
    <d v="2026-07-30T00:00:00"/>
    <n v="5"/>
    <n v="2"/>
    <n v="7.3"/>
    <n v="803"/>
    <x v="4"/>
    <x v="1"/>
    <s v="NORMAL"/>
    <x v="0"/>
  </r>
  <r>
    <n v="417"/>
    <d v="2026-07-30T00:00:00"/>
    <n v="6"/>
    <n v="1"/>
    <n v="8.1"/>
    <n v="1782"/>
    <x v="5"/>
    <x v="0"/>
    <s v="NORMAL"/>
    <x v="0"/>
  </r>
  <r>
    <n v="418"/>
    <d v="2026-07-30T00:00:00"/>
    <n v="6"/>
    <n v="2"/>
    <n v="13.7"/>
    <n v="3014"/>
    <x v="5"/>
    <x v="1"/>
    <s v="NORMAL"/>
    <x v="0"/>
  </r>
  <r>
    <n v="419"/>
    <d v="2026-07-30T00:00:00"/>
    <n v="7"/>
    <n v="1"/>
    <n v="23"/>
    <n v="2185"/>
    <x v="6"/>
    <x v="0"/>
    <s v="NORMAL"/>
    <x v="0"/>
  </r>
  <r>
    <n v="420"/>
    <d v="2026-07-30T00:00:00"/>
    <n v="7"/>
    <n v="2"/>
    <n v="28.9"/>
    <n v="2746"/>
    <x v="6"/>
    <x v="1"/>
    <s v="NORMAL"/>
    <x v="0"/>
  </r>
  <r>
    <n v="421"/>
    <d v="2026-07-31T00:00:00"/>
    <n v="1"/>
    <n v="1"/>
    <n v="13.6"/>
    <n v="816"/>
    <x v="0"/>
    <x v="0"/>
    <s v="NORMAL"/>
    <x v="0"/>
  </r>
  <r>
    <n v="422"/>
    <d v="2026-07-31T00:00:00"/>
    <n v="1"/>
    <n v="2"/>
    <n v="28.8"/>
    <n v="1728"/>
    <x v="0"/>
    <x v="1"/>
    <s v="NORMAL"/>
    <x v="0"/>
  </r>
  <r>
    <n v="423"/>
    <d v="2026-07-31T00:00:00"/>
    <n v="2"/>
    <n v="1"/>
    <n v="27.6"/>
    <n v="2484"/>
    <x v="1"/>
    <x v="0"/>
    <s v="NORMAL"/>
    <x v="0"/>
  </r>
  <r>
    <n v="424"/>
    <d v="2026-07-31T00:00:00"/>
    <n v="2"/>
    <n v="2"/>
    <n v="45.2"/>
    <n v="4068"/>
    <x v="1"/>
    <x v="1"/>
    <s v="NORMAL"/>
    <x v="0"/>
  </r>
  <r>
    <n v="425"/>
    <d v="2026-07-31T00:00:00"/>
    <n v="3"/>
    <n v="1"/>
    <n v="8.5"/>
    <n v="680"/>
    <x v="2"/>
    <x v="0"/>
    <s v="NORMAL"/>
    <x v="0"/>
  </r>
  <r>
    <n v="426"/>
    <d v="2026-07-31T00:00:00"/>
    <n v="3"/>
    <n v="2"/>
    <n v="14.1"/>
    <n v="1128"/>
    <x v="2"/>
    <x v="1"/>
    <s v="NORMAL"/>
    <x v="0"/>
  </r>
  <r>
    <n v="427"/>
    <d v="2026-07-31T00:00:00"/>
    <n v="4"/>
    <n v="1"/>
    <n v="69.2"/>
    <n v="1730"/>
    <x v="3"/>
    <x v="0"/>
    <s v="BIG"/>
    <x v="0"/>
  </r>
  <r>
    <n v="428"/>
    <d v="2026-07-31T00:00:00"/>
    <n v="4"/>
    <n v="2"/>
    <n v="96.3"/>
    <n v="2408"/>
    <x v="3"/>
    <x v="1"/>
    <s v="BIG"/>
    <x v="0"/>
  </r>
  <r>
    <n v="429"/>
    <d v="2026-07-31T00:00:00"/>
    <n v="5"/>
    <n v="1"/>
    <n v="5"/>
    <n v="550"/>
    <x v="4"/>
    <x v="0"/>
    <s v="NORMAL"/>
    <x v="0"/>
  </r>
  <r>
    <n v="430"/>
    <d v="2026-07-31T00:00:00"/>
    <n v="5"/>
    <n v="2"/>
    <n v="4.5999999999999996"/>
    <n v="506"/>
    <x v="4"/>
    <x v="1"/>
    <s v="NORMAL"/>
    <x v="0"/>
  </r>
  <r>
    <n v="431"/>
    <d v="2026-07-31T00:00:00"/>
    <n v="6"/>
    <n v="1"/>
    <n v="9.3000000000000007"/>
    <n v="2046"/>
    <x v="5"/>
    <x v="0"/>
    <s v="NORMAL"/>
    <x v="0"/>
  </r>
  <r>
    <n v="432"/>
    <d v="2026-07-31T00:00:00"/>
    <n v="6"/>
    <n v="2"/>
    <n v="12.7"/>
    <n v="2794"/>
    <x v="5"/>
    <x v="1"/>
    <s v="NORMAL"/>
    <x v="0"/>
  </r>
  <r>
    <n v="433"/>
    <d v="2026-07-31T00:00:00"/>
    <n v="7"/>
    <n v="1"/>
    <n v="27"/>
    <n v="2565"/>
    <x v="6"/>
    <x v="0"/>
    <s v="NORMAL"/>
    <x v="0"/>
  </r>
  <r>
    <n v="434"/>
    <d v="2026-07-31T00:00:00"/>
    <n v="7"/>
    <n v="2"/>
    <n v="44.7"/>
    <n v="4246"/>
    <x v="6"/>
    <x v="1"/>
    <s v="NORMAL"/>
    <x v="0"/>
  </r>
  <r>
    <n v="435"/>
    <d v="2026-08-01T00:00:00"/>
    <n v="1"/>
    <n v="1"/>
    <n v="23.4"/>
    <n v="1404"/>
    <x v="0"/>
    <x v="0"/>
    <s v="NORMAL"/>
    <x v="1"/>
  </r>
  <r>
    <n v="436"/>
    <d v="2026-08-01T00:00:00"/>
    <n v="1"/>
    <n v="2"/>
    <n v="37.200000000000003"/>
    <n v="2232"/>
    <x v="0"/>
    <x v="1"/>
    <s v="NORMAL"/>
    <x v="1"/>
  </r>
  <r>
    <n v="437"/>
    <d v="2026-08-01T00:00:00"/>
    <n v="2"/>
    <n v="1"/>
    <n v="30.1"/>
    <n v="2709"/>
    <x v="1"/>
    <x v="0"/>
    <s v="NORMAL"/>
    <x v="1"/>
  </r>
  <r>
    <n v="438"/>
    <d v="2026-08-01T00:00:00"/>
    <n v="2"/>
    <n v="2"/>
    <n v="62.5"/>
    <n v="5625"/>
    <x v="1"/>
    <x v="1"/>
    <s v="BIG"/>
    <x v="1"/>
  </r>
  <r>
    <n v="439"/>
    <d v="2026-08-01T00:00:00"/>
    <n v="3"/>
    <n v="1"/>
    <n v="7.4"/>
    <n v="592"/>
    <x v="2"/>
    <x v="0"/>
    <s v="NORMAL"/>
    <x v="1"/>
  </r>
  <r>
    <n v="440"/>
    <d v="2026-08-01T00:00:00"/>
    <n v="3"/>
    <n v="2"/>
    <n v="18.5"/>
    <n v="1480"/>
    <x v="2"/>
    <x v="1"/>
    <s v="NORMAL"/>
    <x v="1"/>
  </r>
  <r>
    <n v="441"/>
    <d v="2026-08-01T00:00:00"/>
    <n v="4"/>
    <n v="1"/>
    <n v="70.599999999999994"/>
    <n v="1765"/>
    <x v="3"/>
    <x v="0"/>
    <s v="BIG"/>
    <x v="1"/>
  </r>
  <r>
    <n v="442"/>
    <d v="2026-08-01T00:00:00"/>
    <n v="4"/>
    <n v="2"/>
    <n v="72.599999999999994"/>
    <n v="1815"/>
    <x v="3"/>
    <x v="1"/>
    <s v="BIG"/>
    <x v="1"/>
  </r>
  <r>
    <n v="443"/>
    <d v="2026-08-01T00:00:00"/>
    <n v="5"/>
    <n v="1"/>
    <n v="11.2"/>
    <n v="1232"/>
    <x v="4"/>
    <x v="0"/>
    <s v="NORMAL"/>
    <x v="1"/>
  </r>
  <r>
    <n v="444"/>
    <d v="2026-08-01T00:00:00"/>
    <n v="5"/>
    <n v="2"/>
    <n v="20.399999999999999"/>
    <n v="2244"/>
    <x v="4"/>
    <x v="1"/>
    <s v="NORMAL"/>
    <x v="1"/>
  </r>
  <r>
    <n v="445"/>
    <d v="2026-08-01T00:00:00"/>
    <n v="6"/>
    <n v="1"/>
    <n v="6.1"/>
    <n v="1342"/>
    <x v="5"/>
    <x v="0"/>
    <s v="NORMAL"/>
    <x v="1"/>
  </r>
  <r>
    <n v="446"/>
    <d v="2026-08-01T00:00:00"/>
    <n v="6"/>
    <n v="2"/>
    <n v="6.2"/>
    <n v="1364"/>
    <x v="5"/>
    <x v="1"/>
    <s v="NORMAL"/>
    <x v="1"/>
  </r>
  <r>
    <n v="447"/>
    <d v="2026-08-01T00:00:00"/>
    <n v="7"/>
    <n v="1"/>
    <n v="31"/>
    <n v="2945"/>
    <x v="6"/>
    <x v="0"/>
    <s v="NORMAL"/>
    <x v="1"/>
  </r>
  <r>
    <n v="448"/>
    <d v="2026-08-01T00:00:00"/>
    <n v="7"/>
    <n v="2"/>
    <n v="37.4"/>
    <n v="3553"/>
    <x v="6"/>
    <x v="1"/>
    <s v="NORMAL"/>
    <x v="1"/>
  </r>
  <r>
    <n v="449"/>
    <d v="2026-08-02T00:00:00"/>
    <n v="1"/>
    <n v="1"/>
    <n v="28.1"/>
    <n v="1686"/>
    <x v="0"/>
    <x v="0"/>
    <s v="NORMAL"/>
    <x v="1"/>
  </r>
  <r>
    <n v="450"/>
    <d v="2026-08-02T00:00:00"/>
    <n v="1"/>
    <n v="2"/>
    <n v="29.2"/>
    <n v="1752"/>
    <x v="0"/>
    <x v="1"/>
    <s v="NORMAL"/>
    <x v="1"/>
  </r>
  <r>
    <n v="451"/>
    <d v="2026-08-02T00:00:00"/>
    <n v="2"/>
    <n v="1"/>
    <n v="37.9"/>
    <n v="3411"/>
    <x v="1"/>
    <x v="0"/>
    <s v="NORMAL"/>
    <x v="1"/>
  </r>
  <r>
    <n v="452"/>
    <d v="2026-08-02T00:00:00"/>
    <n v="2"/>
    <n v="2"/>
    <n v="36.1"/>
    <n v="3249"/>
    <x v="1"/>
    <x v="1"/>
    <s v="NORMAL"/>
    <x v="1"/>
  </r>
  <r>
    <n v="453"/>
    <d v="2026-08-02T00:00:00"/>
    <n v="3"/>
    <n v="1"/>
    <n v="9.5"/>
    <n v="760"/>
    <x v="2"/>
    <x v="0"/>
    <s v="NORMAL"/>
    <x v="1"/>
  </r>
  <r>
    <n v="454"/>
    <d v="2026-08-02T00:00:00"/>
    <n v="3"/>
    <n v="2"/>
    <n v="17.3"/>
    <n v="1384"/>
    <x v="2"/>
    <x v="1"/>
    <s v="NORMAL"/>
    <x v="1"/>
  </r>
  <r>
    <n v="455"/>
    <d v="2026-08-02T00:00:00"/>
    <n v="4"/>
    <n v="1"/>
    <n v="100.5"/>
    <n v="2512"/>
    <x v="3"/>
    <x v="0"/>
    <s v="BIG"/>
    <x v="1"/>
  </r>
  <r>
    <n v="456"/>
    <d v="2026-08-02T00:00:00"/>
    <n v="4"/>
    <n v="2"/>
    <n v="192.7"/>
    <n v="4818"/>
    <x v="3"/>
    <x v="1"/>
    <s v="BIG"/>
    <x v="1"/>
  </r>
  <r>
    <n v="457"/>
    <d v="2026-08-02T00:00:00"/>
    <n v="5"/>
    <n v="1"/>
    <n v="19.2"/>
    <n v="2112"/>
    <x v="4"/>
    <x v="0"/>
    <s v="NORMAL"/>
    <x v="1"/>
  </r>
  <r>
    <n v="458"/>
    <d v="2026-08-02T00:00:00"/>
    <n v="5"/>
    <n v="2"/>
    <n v="21.3"/>
    <n v="2343"/>
    <x v="4"/>
    <x v="1"/>
    <s v="NORMAL"/>
    <x v="1"/>
  </r>
  <r>
    <n v="459"/>
    <d v="2026-08-02T00:00:00"/>
    <n v="6"/>
    <n v="1"/>
    <n v="4.4000000000000004"/>
    <n v="968"/>
    <x v="5"/>
    <x v="0"/>
    <s v="NORMAL"/>
    <x v="1"/>
  </r>
  <r>
    <n v="460"/>
    <d v="2026-08-02T00:00:00"/>
    <n v="6"/>
    <n v="2"/>
    <n v="6.6"/>
    <n v="1452"/>
    <x v="5"/>
    <x v="1"/>
    <s v="NORMAL"/>
    <x v="1"/>
  </r>
  <r>
    <n v="461"/>
    <d v="2026-08-02T00:00:00"/>
    <n v="7"/>
    <n v="1"/>
    <n v="37.200000000000003"/>
    <n v="3534"/>
    <x v="6"/>
    <x v="0"/>
    <s v="NORMAL"/>
    <x v="1"/>
  </r>
  <r>
    <n v="462"/>
    <d v="2026-08-02T00:00:00"/>
    <n v="7"/>
    <n v="2"/>
    <n v="52.5"/>
    <n v="4988"/>
    <x v="6"/>
    <x v="1"/>
    <s v="BIG"/>
    <x v="1"/>
  </r>
  <r>
    <n v="463"/>
    <d v="2026-08-03T00:00:00"/>
    <n v="1"/>
    <n v="1"/>
    <n v="19.5"/>
    <n v="1170"/>
    <x v="0"/>
    <x v="0"/>
    <s v="NORMAL"/>
    <x v="1"/>
  </r>
  <r>
    <n v="464"/>
    <d v="2026-08-03T00:00:00"/>
    <n v="1"/>
    <n v="2"/>
    <n v="35.200000000000003"/>
    <n v="2112"/>
    <x v="0"/>
    <x v="1"/>
    <s v="NORMAL"/>
    <x v="1"/>
  </r>
  <r>
    <n v="465"/>
    <d v="2026-08-03T00:00:00"/>
    <n v="2"/>
    <n v="1"/>
    <n v="21.5"/>
    <n v="1935"/>
    <x v="1"/>
    <x v="0"/>
    <s v="NORMAL"/>
    <x v="1"/>
  </r>
  <r>
    <n v="466"/>
    <d v="2026-08-03T00:00:00"/>
    <n v="2"/>
    <n v="2"/>
    <n v="35"/>
    <n v="3150"/>
    <x v="1"/>
    <x v="1"/>
    <s v="NORMAL"/>
    <x v="1"/>
  </r>
  <r>
    <n v="467"/>
    <d v="2026-08-03T00:00:00"/>
    <n v="3"/>
    <n v="1"/>
    <n v="9.3000000000000007"/>
    <n v="744"/>
    <x v="2"/>
    <x v="0"/>
    <s v="NORMAL"/>
    <x v="1"/>
  </r>
  <r>
    <n v="468"/>
    <d v="2026-08-03T00:00:00"/>
    <n v="3"/>
    <n v="2"/>
    <n v="17.600000000000001"/>
    <n v="1408"/>
    <x v="2"/>
    <x v="1"/>
    <s v="NORMAL"/>
    <x v="1"/>
  </r>
  <r>
    <n v="469"/>
    <d v="2026-08-03T00:00:00"/>
    <n v="4"/>
    <n v="1"/>
    <n v="78.400000000000006"/>
    <n v="1960"/>
    <x v="3"/>
    <x v="0"/>
    <s v="BIG"/>
    <x v="1"/>
  </r>
  <r>
    <n v="470"/>
    <d v="2026-08-03T00:00:00"/>
    <n v="4"/>
    <n v="2"/>
    <n v="111.6"/>
    <n v="2790"/>
    <x v="3"/>
    <x v="1"/>
    <s v="BIG"/>
    <x v="1"/>
  </r>
  <r>
    <n v="471"/>
    <d v="2026-08-03T00:00:00"/>
    <n v="5"/>
    <n v="1"/>
    <n v="11.9"/>
    <n v="1309"/>
    <x v="4"/>
    <x v="0"/>
    <s v="NORMAL"/>
    <x v="1"/>
  </r>
  <r>
    <n v="472"/>
    <d v="2026-08-03T00:00:00"/>
    <n v="5"/>
    <n v="2"/>
    <n v="25.6"/>
    <n v="2816"/>
    <x v="4"/>
    <x v="1"/>
    <s v="NORMAL"/>
    <x v="1"/>
  </r>
  <r>
    <n v="473"/>
    <d v="2026-08-03T00:00:00"/>
    <n v="6"/>
    <n v="1"/>
    <n v="3.5"/>
    <n v="770"/>
    <x v="5"/>
    <x v="0"/>
    <s v="NORMAL"/>
    <x v="1"/>
  </r>
  <r>
    <n v="474"/>
    <d v="2026-08-03T00:00:00"/>
    <n v="6"/>
    <n v="2"/>
    <n v="6.4"/>
    <n v="1408"/>
    <x v="5"/>
    <x v="1"/>
    <s v="NORMAL"/>
    <x v="1"/>
  </r>
  <r>
    <n v="475"/>
    <d v="2026-08-03T00:00:00"/>
    <n v="7"/>
    <n v="1"/>
    <n v="16.100000000000001"/>
    <n v="1530"/>
    <x v="6"/>
    <x v="0"/>
    <s v="NORMAL"/>
    <x v="1"/>
  </r>
  <r>
    <n v="476"/>
    <d v="2026-08-03T00:00:00"/>
    <n v="7"/>
    <n v="2"/>
    <n v="47.1"/>
    <n v="4474"/>
    <x v="6"/>
    <x v="1"/>
    <s v="NORMAL"/>
    <x v="1"/>
  </r>
  <r>
    <n v="477"/>
    <d v="2026-08-04T00:00:00"/>
    <n v="1"/>
    <n v="1"/>
    <n v="14.7"/>
    <n v="882"/>
    <x v="0"/>
    <x v="0"/>
    <s v="NORMAL"/>
    <x v="1"/>
  </r>
  <r>
    <n v="478"/>
    <d v="2026-08-04T00:00:00"/>
    <n v="1"/>
    <n v="2"/>
    <n v="25.3"/>
    <n v="1518"/>
    <x v="0"/>
    <x v="1"/>
    <s v="NORMAL"/>
    <x v="1"/>
  </r>
  <r>
    <n v="479"/>
    <d v="2026-08-04T00:00:00"/>
    <n v="2"/>
    <n v="1"/>
    <n v="29.1"/>
    <n v="2619"/>
    <x v="1"/>
    <x v="0"/>
    <s v="NORMAL"/>
    <x v="1"/>
  </r>
  <r>
    <n v="480"/>
    <d v="2026-08-04T00:00:00"/>
    <n v="2"/>
    <n v="2"/>
    <n v="26.4"/>
    <n v="2376"/>
    <x v="1"/>
    <x v="1"/>
    <s v="NORMAL"/>
    <x v="1"/>
  </r>
  <r>
    <n v="481"/>
    <d v="2026-08-04T00:00:00"/>
    <n v="3"/>
    <n v="1"/>
    <n v="8.9"/>
    <n v="712"/>
    <x v="2"/>
    <x v="0"/>
    <s v="NORMAL"/>
    <x v="1"/>
  </r>
  <r>
    <n v="482"/>
    <d v="2026-08-04T00:00:00"/>
    <n v="3"/>
    <n v="2"/>
    <n v="13.7"/>
    <n v="1096"/>
    <x v="2"/>
    <x v="1"/>
    <s v="NORMAL"/>
    <x v="1"/>
  </r>
  <r>
    <n v="483"/>
    <d v="2026-08-04T00:00:00"/>
    <n v="4"/>
    <n v="1"/>
    <n v="64"/>
    <n v="1600"/>
    <x v="3"/>
    <x v="0"/>
    <s v="BIG"/>
    <x v="1"/>
  </r>
  <r>
    <n v="484"/>
    <d v="2026-08-04T00:00:00"/>
    <n v="4"/>
    <n v="2"/>
    <n v="152.19999999999999"/>
    <n v="3805"/>
    <x v="3"/>
    <x v="1"/>
    <s v="BIG"/>
    <x v="1"/>
  </r>
  <r>
    <n v="485"/>
    <d v="2026-08-04T00:00:00"/>
    <n v="5"/>
    <n v="1"/>
    <n v="19.5"/>
    <n v="2145"/>
    <x v="4"/>
    <x v="0"/>
    <s v="NORMAL"/>
    <x v="1"/>
  </r>
  <r>
    <n v="486"/>
    <d v="2026-08-04T00:00:00"/>
    <n v="5"/>
    <n v="2"/>
    <n v="13.6"/>
    <n v="1496"/>
    <x v="4"/>
    <x v="1"/>
    <s v="NORMAL"/>
    <x v="1"/>
  </r>
  <r>
    <n v="487"/>
    <d v="2026-08-04T00:00:00"/>
    <n v="6"/>
    <n v="1"/>
    <n v="2.8"/>
    <n v="616"/>
    <x v="5"/>
    <x v="0"/>
    <s v="NORMAL"/>
    <x v="1"/>
  </r>
  <r>
    <n v="488"/>
    <d v="2026-08-04T00:00:00"/>
    <n v="6"/>
    <n v="2"/>
    <n v="7"/>
    <n v="1540"/>
    <x v="5"/>
    <x v="1"/>
    <s v="NORMAL"/>
    <x v="1"/>
  </r>
  <r>
    <n v="489"/>
    <d v="2026-08-04T00:00:00"/>
    <n v="7"/>
    <n v="1"/>
    <n v="19.2"/>
    <n v="1824"/>
    <x v="6"/>
    <x v="0"/>
    <s v="NORMAL"/>
    <x v="1"/>
  </r>
  <r>
    <n v="490"/>
    <d v="2026-08-04T00:00:00"/>
    <n v="7"/>
    <n v="2"/>
    <n v="36"/>
    <n v="3420"/>
    <x v="6"/>
    <x v="1"/>
    <s v="NORMAL"/>
    <x v="1"/>
  </r>
  <r>
    <n v="491"/>
    <d v="2026-08-05T00:00:00"/>
    <n v="1"/>
    <n v="1"/>
    <n v="20.5"/>
    <n v="1230"/>
    <x v="0"/>
    <x v="0"/>
    <s v="NORMAL"/>
    <x v="1"/>
  </r>
  <r>
    <n v="492"/>
    <d v="2026-08-05T00:00:00"/>
    <n v="1"/>
    <n v="2"/>
    <n v="34.200000000000003"/>
    <n v="2052"/>
    <x v="0"/>
    <x v="1"/>
    <s v="NORMAL"/>
    <x v="1"/>
  </r>
  <r>
    <n v="493"/>
    <d v="2026-08-05T00:00:00"/>
    <n v="2"/>
    <n v="1"/>
    <n v="22.9"/>
    <n v="2061"/>
    <x v="1"/>
    <x v="0"/>
    <s v="NORMAL"/>
    <x v="1"/>
  </r>
  <r>
    <n v="494"/>
    <d v="2026-08-05T00:00:00"/>
    <n v="2"/>
    <n v="2"/>
    <n v="36.700000000000003"/>
    <n v="3303"/>
    <x v="1"/>
    <x v="1"/>
    <s v="NORMAL"/>
    <x v="1"/>
  </r>
  <r>
    <n v="495"/>
    <d v="2026-08-05T00:00:00"/>
    <n v="3"/>
    <n v="1"/>
    <n v="7.6"/>
    <n v="608"/>
    <x v="2"/>
    <x v="0"/>
    <s v="NORMAL"/>
    <x v="1"/>
  </r>
  <r>
    <n v="496"/>
    <d v="2026-08-05T00:00:00"/>
    <n v="3"/>
    <n v="2"/>
    <n v="17"/>
    <n v="1360"/>
    <x v="2"/>
    <x v="1"/>
    <s v="NORMAL"/>
    <x v="1"/>
  </r>
  <r>
    <n v="497"/>
    <d v="2026-08-05T00:00:00"/>
    <n v="4"/>
    <n v="1"/>
    <n v="72.099999999999994"/>
    <n v="1802"/>
    <x v="3"/>
    <x v="0"/>
    <s v="BIG"/>
    <x v="1"/>
  </r>
  <r>
    <n v="498"/>
    <d v="2026-08-05T00:00:00"/>
    <n v="4"/>
    <n v="2"/>
    <n v="128.19999999999999"/>
    <n v="3205"/>
    <x v="3"/>
    <x v="1"/>
    <s v="BIG"/>
    <x v="1"/>
  </r>
  <r>
    <n v="499"/>
    <d v="2026-08-05T00:00:00"/>
    <n v="5"/>
    <n v="1"/>
    <n v="13.5"/>
    <n v="1485"/>
    <x v="4"/>
    <x v="0"/>
    <s v="NORMAL"/>
    <x v="1"/>
  </r>
  <r>
    <n v="500"/>
    <d v="2026-08-05T00:00:00"/>
    <n v="5"/>
    <n v="2"/>
    <n v="23"/>
    <n v="2530"/>
    <x v="4"/>
    <x v="1"/>
    <s v="NORMAL"/>
    <x v="1"/>
  </r>
  <r>
    <n v="501"/>
    <d v="2026-08-05T00:00:00"/>
    <n v="6"/>
    <n v="1"/>
    <n v="3.9"/>
    <n v="858"/>
    <x v="5"/>
    <x v="0"/>
    <s v="NORMAL"/>
    <x v="1"/>
  </r>
  <r>
    <n v="502"/>
    <d v="2026-08-05T00:00:00"/>
    <n v="6"/>
    <n v="2"/>
    <n v="5.8"/>
    <n v="1276"/>
    <x v="5"/>
    <x v="1"/>
    <s v="NORMAL"/>
    <x v="1"/>
  </r>
  <r>
    <n v="503"/>
    <d v="2026-08-05T00:00:00"/>
    <n v="7"/>
    <n v="1"/>
    <n v="20.7"/>
    <n v="1966"/>
    <x v="6"/>
    <x v="0"/>
    <s v="NORMAL"/>
    <x v="1"/>
  </r>
  <r>
    <n v="504"/>
    <d v="2026-08-05T00:00:00"/>
    <n v="7"/>
    <n v="2"/>
    <n v="45.2"/>
    <n v="4294"/>
    <x v="6"/>
    <x v="1"/>
    <s v="NORMAL"/>
    <x v="1"/>
  </r>
  <r>
    <n v="505"/>
    <d v="2026-08-06T00:00:00"/>
    <n v="1"/>
    <n v="1"/>
    <n v="25.7"/>
    <n v="1542"/>
    <x v="0"/>
    <x v="0"/>
    <s v="NORMAL"/>
    <x v="1"/>
  </r>
  <r>
    <n v="506"/>
    <d v="2026-08-06T00:00:00"/>
    <n v="1"/>
    <n v="2"/>
    <n v="31.5"/>
    <n v="1890"/>
    <x v="0"/>
    <x v="1"/>
    <s v="NORMAL"/>
    <x v="1"/>
  </r>
  <r>
    <n v="507"/>
    <d v="2026-08-06T00:00:00"/>
    <n v="2"/>
    <n v="1"/>
    <n v="27.5"/>
    <n v="2475"/>
    <x v="1"/>
    <x v="0"/>
    <s v="NORMAL"/>
    <x v="1"/>
  </r>
  <r>
    <n v="508"/>
    <d v="2026-08-06T00:00:00"/>
    <n v="2"/>
    <n v="2"/>
    <n v="42"/>
    <n v="3780"/>
    <x v="1"/>
    <x v="1"/>
    <s v="NORMAL"/>
    <x v="1"/>
  </r>
  <r>
    <n v="509"/>
    <d v="2026-08-06T00:00:00"/>
    <n v="3"/>
    <n v="1"/>
    <n v="10.7"/>
    <n v="856"/>
    <x v="2"/>
    <x v="0"/>
    <s v="NORMAL"/>
    <x v="1"/>
  </r>
  <r>
    <n v="510"/>
    <d v="2026-08-06T00:00:00"/>
    <n v="3"/>
    <n v="2"/>
    <n v="14.3"/>
    <n v="1144"/>
    <x v="2"/>
    <x v="1"/>
    <s v="NORMAL"/>
    <x v="1"/>
  </r>
  <r>
    <n v="511"/>
    <d v="2026-08-06T00:00:00"/>
    <n v="4"/>
    <n v="1"/>
    <n v="83.4"/>
    <n v="2085"/>
    <x v="3"/>
    <x v="0"/>
    <s v="BIG"/>
    <x v="1"/>
  </r>
  <r>
    <n v="512"/>
    <d v="2026-08-06T00:00:00"/>
    <n v="4"/>
    <n v="2"/>
    <n v="140.69999999999999"/>
    <n v="3517"/>
    <x v="3"/>
    <x v="1"/>
    <s v="BIG"/>
    <x v="1"/>
  </r>
  <r>
    <n v="513"/>
    <d v="2026-08-06T00:00:00"/>
    <n v="5"/>
    <n v="1"/>
    <n v="15.2"/>
    <n v="1672"/>
    <x v="4"/>
    <x v="0"/>
    <s v="NORMAL"/>
    <x v="1"/>
  </r>
  <r>
    <n v="514"/>
    <d v="2026-08-06T00:00:00"/>
    <n v="5"/>
    <n v="2"/>
    <n v="18.100000000000001"/>
    <n v="1991"/>
    <x v="4"/>
    <x v="1"/>
    <s v="NORMAL"/>
    <x v="1"/>
  </r>
  <r>
    <n v="515"/>
    <d v="2026-08-06T00:00:00"/>
    <n v="6"/>
    <n v="1"/>
    <n v="4"/>
    <n v="880"/>
    <x v="5"/>
    <x v="0"/>
    <s v="NORMAL"/>
    <x v="1"/>
  </r>
  <r>
    <n v="516"/>
    <d v="2026-08-06T00:00:00"/>
    <n v="6"/>
    <n v="2"/>
    <n v="3.7"/>
    <n v="814"/>
    <x v="5"/>
    <x v="1"/>
    <s v="NORMAL"/>
    <x v="1"/>
  </r>
  <r>
    <n v="517"/>
    <d v="2026-08-06T00:00:00"/>
    <n v="7"/>
    <n v="1"/>
    <n v="26"/>
    <n v="2470"/>
    <x v="6"/>
    <x v="0"/>
    <s v="NORMAL"/>
    <x v="1"/>
  </r>
  <r>
    <n v="518"/>
    <d v="2026-08-06T00:00:00"/>
    <n v="7"/>
    <n v="2"/>
    <n v="42.2"/>
    <n v="4009"/>
    <x v="6"/>
    <x v="1"/>
    <s v="NORMAL"/>
    <x v="1"/>
  </r>
  <r>
    <n v="519"/>
    <d v="2026-08-07T00:00:00"/>
    <n v="1"/>
    <n v="1"/>
    <n v="24.9"/>
    <n v="1494"/>
    <x v="0"/>
    <x v="0"/>
    <s v="NORMAL"/>
    <x v="1"/>
  </r>
  <r>
    <n v="520"/>
    <d v="2026-08-07T00:00:00"/>
    <n v="1"/>
    <n v="2"/>
    <n v="30.9"/>
    <n v="1854"/>
    <x v="0"/>
    <x v="1"/>
    <s v="NORMAL"/>
    <x v="1"/>
  </r>
  <r>
    <n v="521"/>
    <d v="2026-08-07T00:00:00"/>
    <n v="2"/>
    <n v="1"/>
    <n v="28.5"/>
    <n v="2565"/>
    <x v="1"/>
    <x v="0"/>
    <s v="NORMAL"/>
    <x v="1"/>
  </r>
  <r>
    <n v="522"/>
    <d v="2026-08-07T00:00:00"/>
    <n v="2"/>
    <n v="2"/>
    <n v="36"/>
    <n v="3240"/>
    <x v="1"/>
    <x v="1"/>
    <s v="NORMAL"/>
    <x v="1"/>
  </r>
  <r>
    <n v="523"/>
    <d v="2026-08-07T00:00:00"/>
    <n v="3"/>
    <n v="1"/>
    <n v="7.2"/>
    <n v="576"/>
    <x v="2"/>
    <x v="0"/>
    <s v="NORMAL"/>
    <x v="1"/>
  </r>
  <r>
    <n v="524"/>
    <d v="2026-08-07T00:00:00"/>
    <n v="3"/>
    <n v="2"/>
    <n v="9.6999999999999993"/>
    <n v="776"/>
    <x v="2"/>
    <x v="1"/>
    <s v="NORMAL"/>
    <x v="1"/>
  </r>
  <r>
    <n v="525"/>
    <d v="2026-08-07T00:00:00"/>
    <n v="4"/>
    <n v="1"/>
    <n v="64.5"/>
    <n v="1612"/>
    <x v="3"/>
    <x v="0"/>
    <s v="BIG"/>
    <x v="1"/>
  </r>
  <r>
    <n v="526"/>
    <d v="2026-08-07T00:00:00"/>
    <n v="4"/>
    <n v="2"/>
    <n v="87.2"/>
    <n v="2180"/>
    <x v="3"/>
    <x v="1"/>
    <s v="BIG"/>
    <x v="1"/>
  </r>
  <r>
    <n v="527"/>
    <d v="2026-08-07T00:00:00"/>
    <n v="5"/>
    <n v="1"/>
    <n v="16.899999999999999"/>
    <n v="1859"/>
    <x v="4"/>
    <x v="0"/>
    <s v="NORMAL"/>
    <x v="1"/>
  </r>
  <r>
    <n v="528"/>
    <d v="2026-08-07T00:00:00"/>
    <n v="5"/>
    <n v="2"/>
    <n v="21.6"/>
    <n v="2376"/>
    <x v="4"/>
    <x v="1"/>
    <s v="NORMAL"/>
    <x v="1"/>
  </r>
  <r>
    <n v="529"/>
    <d v="2026-08-07T00:00:00"/>
    <n v="6"/>
    <n v="1"/>
    <n v="4.5"/>
    <n v="990"/>
    <x v="5"/>
    <x v="0"/>
    <s v="NORMAL"/>
    <x v="1"/>
  </r>
  <r>
    <n v="530"/>
    <d v="2026-08-07T00:00:00"/>
    <n v="6"/>
    <n v="2"/>
    <n v="6.1"/>
    <n v="1342"/>
    <x v="5"/>
    <x v="1"/>
    <s v="NORMAL"/>
    <x v="1"/>
  </r>
  <r>
    <n v="531"/>
    <d v="2026-08-07T00:00:00"/>
    <n v="7"/>
    <n v="1"/>
    <n v="31.4"/>
    <n v="2983"/>
    <x v="6"/>
    <x v="0"/>
    <s v="NORMAL"/>
    <x v="1"/>
  </r>
  <r>
    <n v="532"/>
    <d v="2026-08-07T00:00:00"/>
    <n v="7"/>
    <n v="2"/>
    <n v="47.3"/>
    <n v="4494"/>
    <x v="6"/>
    <x v="1"/>
    <s v="NORMAL"/>
    <x v="1"/>
  </r>
  <r>
    <n v="533"/>
    <d v="2026-08-08T00:00:00"/>
    <n v="1"/>
    <n v="1"/>
    <n v="21.8"/>
    <n v="1308"/>
    <x v="0"/>
    <x v="0"/>
    <s v="NORMAL"/>
    <x v="1"/>
  </r>
  <r>
    <n v="534"/>
    <d v="2026-08-08T00:00:00"/>
    <n v="1"/>
    <n v="2"/>
    <n v="35.4"/>
    <n v="2124"/>
    <x v="0"/>
    <x v="1"/>
    <s v="NORMAL"/>
    <x v="1"/>
  </r>
  <r>
    <n v="535"/>
    <d v="2026-08-08T00:00:00"/>
    <n v="2"/>
    <n v="1"/>
    <n v="26.8"/>
    <n v="2412"/>
    <x v="1"/>
    <x v="0"/>
    <s v="NORMAL"/>
    <x v="1"/>
  </r>
  <r>
    <n v="536"/>
    <d v="2026-08-08T00:00:00"/>
    <n v="2"/>
    <n v="2"/>
    <n v="30.4"/>
    <n v="2736"/>
    <x v="1"/>
    <x v="1"/>
    <s v="NORMAL"/>
    <x v="1"/>
  </r>
  <r>
    <n v="537"/>
    <d v="2026-08-08T00:00:00"/>
    <n v="3"/>
    <n v="1"/>
    <n v="12.8"/>
    <n v="1024"/>
    <x v="2"/>
    <x v="0"/>
    <s v="NORMAL"/>
    <x v="1"/>
  </r>
  <r>
    <n v="538"/>
    <d v="2026-08-08T00:00:00"/>
    <n v="3"/>
    <n v="2"/>
    <n v="20.9"/>
    <n v="1672"/>
    <x v="2"/>
    <x v="1"/>
    <s v="NORMAL"/>
    <x v="1"/>
  </r>
  <r>
    <n v="539"/>
    <d v="2026-08-08T00:00:00"/>
    <n v="4"/>
    <n v="1"/>
    <n v="99.9"/>
    <n v="2498"/>
    <x v="3"/>
    <x v="0"/>
    <s v="BIG"/>
    <x v="1"/>
  </r>
  <r>
    <n v="540"/>
    <d v="2026-08-08T00:00:00"/>
    <n v="4"/>
    <n v="2"/>
    <n v="135.19999999999999"/>
    <n v="3380"/>
    <x v="3"/>
    <x v="1"/>
    <s v="BIG"/>
    <x v="1"/>
  </r>
  <r>
    <n v="541"/>
    <d v="2026-08-08T00:00:00"/>
    <n v="5"/>
    <n v="1"/>
    <n v="22.8"/>
    <n v="2508"/>
    <x v="4"/>
    <x v="0"/>
    <s v="NORMAL"/>
    <x v="1"/>
  </r>
  <r>
    <n v="542"/>
    <d v="2026-08-08T00:00:00"/>
    <n v="5"/>
    <n v="2"/>
    <n v="14.9"/>
    <n v="1639"/>
    <x v="4"/>
    <x v="1"/>
    <s v="NORMAL"/>
    <x v="1"/>
  </r>
  <r>
    <n v="543"/>
    <d v="2026-08-08T00:00:00"/>
    <n v="6"/>
    <n v="1"/>
    <n v="5.2"/>
    <n v="1144"/>
    <x v="5"/>
    <x v="0"/>
    <s v="NORMAL"/>
    <x v="1"/>
  </r>
  <r>
    <n v="544"/>
    <d v="2026-08-08T00:00:00"/>
    <n v="6"/>
    <n v="2"/>
    <n v="7.7"/>
    <n v="1694"/>
    <x v="5"/>
    <x v="1"/>
    <s v="NORMAL"/>
    <x v="1"/>
  </r>
  <r>
    <n v="545"/>
    <d v="2026-08-08T00:00:00"/>
    <n v="7"/>
    <n v="1"/>
    <n v="28.8"/>
    <n v="2736"/>
    <x v="6"/>
    <x v="0"/>
    <s v="NORMAL"/>
    <x v="1"/>
  </r>
  <r>
    <n v="546"/>
    <d v="2026-08-08T00:00:00"/>
    <n v="7"/>
    <n v="2"/>
    <n v="62.3"/>
    <n v="5918"/>
    <x v="6"/>
    <x v="1"/>
    <s v="BIG"/>
    <x v="1"/>
  </r>
  <r>
    <n v="547"/>
    <d v="2026-08-09T00:00:00"/>
    <n v="1"/>
    <n v="1"/>
    <n v="29.9"/>
    <n v="1794"/>
    <x v="0"/>
    <x v="0"/>
    <s v="NORMAL"/>
    <x v="1"/>
  </r>
  <r>
    <n v="548"/>
    <d v="2026-08-09T00:00:00"/>
    <n v="1"/>
    <n v="2"/>
    <n v="35.5"/>
    <n v="2130"/>
    <x v="0"/>
    <x v="1"/>
    <s v="NORMAL"/>
    <x v="1"/>
  </r>
  <r>
    <n v="549"/>
    <d v="2026-08-09T00:00:00"/>
    <n v="2"/>
    <n v="1"/>
    <n v="29.5"/>
    <n v="2655"/>
    <x v="1"/>
    <x v="0"/>
    <s v="NORMAL"/>
    <x v="1"/>
  </r>
  <r>
    <n v="550"/>
    <d v="2026-08-09T00:00:00"/>
    <n v="2"/>
    <n v="2"/>
    <n v="41.5"/>
    <n v="3735"/>
    <x v="1"/>
    <x v="1"/>
    <s v="NORMAL"/>
    <x v="1"/>
  </r>
  <r>
    <n v="551"/>
    <d v="2026-08-09T00:00:00"/>
    <n v="3"/>
    <n v="1"/>
    <n v="10.1"/>
    <n v="808"/>
    <x v="2"/>
    <x v="0"/>
    <s v="NORMAL"/>
    <x v="1"/>
  </r>
  <r>
    <n v="552"/>
    <d v="2026-08-09T00:00:00"/>
    <n v="3"/>
    <n v="2"/>
    <n v="12.5"/>
    <n v="1000"/>
    <x v="2"/>
    <x v="1"/>
    <s v="NORMAL"/>
    <x v="1"/>
  </r>
  <r>
    <n v="553"/>
    <d v="2026-08-09T00:00:00"/>
    <n v="4"/>
    <n v="1"/>
    <n v="127.6"/>
    <n v="3190"/>
    <x v="3"/>
    <x v="0"/>
    <s v="BIG"/>
    <x v="1"/>
  </r>
  <r>
    <n v="554"/>
    <d v="2026-08-09T00:00:00"/>
    <n v="4"/>
    <n v="2"/>
    <n v="180.8"/>
    <n v="4520"/>
    <x v="3"/>
    <x v="1"/>
    <s v="BIG"/>
    <x v="1"/>
  </r>
  <r>
    <n v="555"/>
    <d v="2026-08-09T00:00:00"/>
    <n v="5"/>
    <n v="1"/>
    <n v="21.7"/>
    <n v="2387"/>
    <x v="4"/>
    <x v="0"/>
    <s v="NORMAL"/>
    <x v="1"/>
  </r>
  <r>
    <n v="556"/>
    <d v="2026-08-09T00:00:00"/>
    <n v="5"/>
    <n v="2"/>
    <n v="22"/>
    <n v="2420"/>
    <x v="4"/>
    <x v="1"/>
    <s v="NORMAL"/>
    <x v="1"/>
  </r>
  <r>
    <n v="557"/>
    <d v="2026-08-09T00:00:00"/>
    <n v="6"/>
    <n v="1"/>
    <n v="7.1"/>
    <n v="1562"/>
    <x v="5"/>
    <x v="0"/>
    <s v="NORMAL"/>
    <x v="1"/>
  </r>
  <r>
    <n v="558"/>
    <d v="2026-08-09T00:00:00"/>
    <n v="6"/>
    <n v="2"/>
    <n v="10.5"/>
    <n v="2310"/>
    <x v="5"/>
    <x v="1"/>
    <s v="NORMAL"/>
    <x v="1"/>
  </r>
  <r>
    <n v="559"/>
    <d v="2026-08-09T00:00:00"/>
    <n v="7"/>
    <n v="1"/>
    <n v="33.700000000000003"/>
    <n v="3202"/>
    <x v="6"/>
    <x v="0"/>
    <s v="NORMAL"/>
    <x v="1"/>
  </r>
  <r>
    <n v="560"/>
    <d v="2026-08-09T00:00:00"/>
    <n v="7"/>
    <n v="2"/>
    <n v="39.9"/>
    <n v="3790"/>
    <x v="6"/>
    <x v="1"/>
    <s v="NORMAL"/>
    <x v="1"/>
  </r>
  <r>
    <n v="561"/>
    <d v="2026-08-10T00:00:00"/>
    <n v="1"/>
    <n v="1"/>
    <n v="16.5"/>
    <n v="990"/>
    <x v="0"/>
    <x v="0"/>
    <s v="NORMAL"/>
    <x v="1"/>
  </r>
  <r>
    <n v="562"/>
    <d v="2026-08-10T00:00:00"/>
    <n v="1"/>
    <n v="2"/>
    <n v="32.5"/>
    <n v="1950"/>
    <x v="0"/>
    <x v="1"/>
    <s v="NORMAL"/>
    <x v="1"/>
  </r>
  <r>
    <n v="563"/>
    <d v="2026-08-10T00:00:00"/>
    <n v="2"/>
    <n v="1"/>
    <n v="19.600000000000001"/>
    <n v="1764"/>
    <x v="1"/>
    <x v="0"/>
    <s v="NORMAL"/>
    <x v="1"/>
  </r>
  <r>
    <n v="564"/>
    <d v="2026-08-10T00:00:00"/>
    <n v="2"/>
    <n v="2"/>
    <n v="35.799999999999997"/>
    <n v="3222"/>
    <x v="1"/>
    <x v="1"/>
    <s v="NORMAL"/>
    <x v="1"/>
  </r>
  <r>
    <n v="565"/>
    <d v="2026-08-10T00:00:00"/>
    <n v="3"/>
    <n v="1"/>
    <n v="11"/>
    <n v="880"/>
    <x v="2"/>
    <x v="0"/>
    <s v="NORMAL"/>
    <x v="1"/>
  </r>
  <r>
    <n v="566"/>
    <d v="2026-08-10T00:00:00"/>
    <n v="3"/>
    <n v="2"/>
    <n v="9.4"/>
    <n v="752"/>
    <x v="2"/>
    <x v="1"/>
    <s v="NORMAL"/>
    <x v="1"/>
  </r>
  <r>
    <n v="567"/>
    <d v="2026-08-10T00:00:00"/>
    <n v="4"/>
    <n v="1"/>
    <n v="112.1"/>
    <n v="2802"/>
    <x v="3"/>
    <x v="0"/>
    <s v="BIG"/>
    <x v="1"/>
  </r>
  <r>
    <n v="568"/>
    <d v="2026-08-10T00:00:00"/>
    <n v="4"/>
    <n v="2"/>
    <n v="157.6"/>
    <n v="3940"/>
    <x v="3"/>
    <x v="1"/>
    <s v="BIG"/>
    <x v="1"/>
  </r>
  <r>
    <n v="569"/>
    <d v="2026-08-10T00:00:00"/>
    <n v="5"/>
    <n v="1"/>
    <n v="11.3"/>
    <n v="1243"/>
    <x v="4"/>
    <x v="0"/>
    <s v="NORMAL"/>
    <x v="1"/>
  </r>
  <r>
    <n v="570"/>
    <d v="2026-08-10T00:00:00"/>
    <n v="5"/>
    <n v="2"/>
    <n v="16.100000000000001"/>
    <n v="1771"/>
    <x v="4"/>
    <x v="1"/>
    <s v="NORMAL"/>
    <x v="1"/>
  </r>
  <r>
    <n v="571"/>
    <d v="2026-08-10T00:00:00"/>
    <n v="6"/>
    <n v="1"/>
    <n v="3.8"/>
    <n v="836"/>
    <x v="5"/>
    <x v="0"/>
    <s v="NORMAL"/>
    <x v="1"/>
  </r>
  <r>
    <n v="572"/>
    <d v="2026-08-10T00:00:00"/>
    <n v="6"/>
    <n v="2"/>
    <n v="4.8"/>
    <n v="1056"/>
    <x v="5"/>
    <x v="1"/>
    <s v="NORMAL"/>
    <x v="1"/>
  </r>
  <r>
    <n v="573"/>
    <d v="2026-08-10T00:00:00"/>
    <n v="7"/>
    <n v="1"/>
    <n v="24.6"/>
    <n v="2337"/>
    <x v="6"/>
    <x v="0"/>
    <s v="NORMAL"/>
    <x v="1"/>
  </r>
  <r>
    <n v="574"/>
    <d v="2026-08-10T00:00:00"/>
    <n v="7"/>
    <n v="2"/>
    <n v="18.899999999999999"/>
    <n v="1795"/>
    <x v="6"/>
    <x v="1"/>
    <s v="NORMAL"/>
    <x v="1"/>
  </r>
  <r>
    <n v="575"/>
    <d v="2026-08-11T00:00:00"/>
    <n v="1"/>
    <n v="1"/>
    <n v="19.100000000000001"/>
    <n v="1146"/>
    <x v="0"/>
    <x v="0"/>
    <s v="NORMAL"/>
    <x v="1"/>
  </r>
  <r>
    <n v="576"/>
    <d v="2026-08-11T00:00:00"/>
    <n v="1"/>
    <n v="2"/>
    <n v="40.799999999999997"/>
    <n v="2448"/>
    <x v="0"/>
    <x v="1"/>
    <s v="NORMAL"/>
    <x v="1"/>
  </r>
  <r>
    <n v="577"/>
    <d v="2026-08-11T00:00:00"/>
    <n v="2"/>
    <n v="1"/>
    <n v="18.600000000000001"/>
    <n v="1674"/>
    <x v="1"/>
    <x v="0"/>
    <s v="NORMAL"/>
    <x v="1"/>
  </r>
  <r>
    <n v="578"/>
    <d v="2026-08-11T00:00:00"/>
    <n v="2"/>
    <n v="2"/>
    <n v="34"/>
    <n v="3060"/>
    <x v="1"/>
    <x v="1"/>
    <s v="NORMAL"/>
    <x v="1"/>
  </r>
  <r>
    <n v="579"/>
    <d v="2026-08-11T00:00:00"/>
    <n v="3"/>
    <n v="1"/>
    <n v="6.3"/>
    <n v="504"/>
    <x v="2"/>
    <x v="0"/>
    <s v="NORMAL"/>
    <x v="1"/>
  </r>
  <r>
    <n v="580"/>
    <d v="2026-08-11T00:00:00"/>
    <n v="3"/>
    <n v="2"/>
    <n v="15.2"/>
    <n v="1216"/>
    <x v="2"/>
    <x v="1"/>
    <s v="NORMAL"/>
    <x v="1"/>
  </r>
  <r>
    <n v="581"/>
    <d v="2026-08-11T00:00:00"/>
    <n v="4"/>
    <n v="1"/>
    <n v="76.400000000000006"/>
    <n v="1910"/>
    <x v="3"/>
    <x v="0"/>
    <s v="BIG"/>
    <x v="1"/>
  </r>
  <r>
    <n v="582"/>
    <d v="2026-08-11T00:00:00"/>
    <n v="4"/>
    <n v="2"/>
    <n v="166.6"/>
    <n v="4165"/>
    <x v="3"/>
    <x v="1"/>
    <s v="BIG"/>
    <x v="1"/>
  </r>
  <r>
    <n v="583"/>
    <d v="2026-08-11T00:00:00"/>
    <n v="5"/>
    <n v="1"/>
    <n v="15.6"/>
    <n v="1716"/>
    <x v="4"/>
    <x v="0"/>
    <s v="NORMAL"/>
    <x v="1"/>
  </r>
  <r>
    <n v="584"/>
    <d v="2026-08-11T00:00:00"/>
    <n v="5"/>
    <n v="2"/>
    <n v="20.8"/>
    <n v="2288"/>
    <x v="4"/>
    <x v="1"/>
    <s v="NORMAL"/>
    <x v="1"/>
  </r>
  <r>
    <n v="585"/>
    <d v="2026-08-11T00:00:00"/>
    <n v="6"/>
    <n v="1"/>
    <n v="4.4000000000000004"/>
    <n v="968"/>
    <x v="5"/>
    <x v="0"/>
    <s v="NORMAL"/>
    <x v="1"/>
  </r>
  <r>
    <n v="586"/>
    <d v="2026-08-11T00:00:00"/>
    <n v="6"/>
    <n v="2"/>
    <n v="5.4"/>
    <n v="1188"/>
    <x v="5"/>
    <x v="1"/>
    <s v="NORMAL"/>
    <x v="1"/>
  </r>
  <r>
    <n v="587"/>
    <d v="2026-08-11T00:00:00"/>
    <n v="7"/>
    <n v="1"/>
    <n v="19"/>
    <n v="1805"/>
    <x v="6"/>
    <x v="0"/>
    <s v="NORMAL"/>
    <x v="1"/>
  </r>
  <r>
    <n v="588"/>
    <d v="2026-08-11T00:00:00"/>
    <n v="7"/>
    <n v="2"/>
    <n v="41.4"/>
    <n v="3933"/>
    <x v="6"/>
    <x v="1"/>
    <s v="NORMAL"/>
    <x v="1"/>
  </r>
  <r>
    <n v="589"/>
    <d v="2026-08-12T00:00:00"/>
    <n v="1"/>
    <n v="1"/>
    <n v="19.3"/>
    <n v="1158"/>
    <x v="0"/>
    <x v="0"/>
    <s v="NORMAL"/>
    <x v="1"/>
  </r>
  <r>
    <n v="590"/>
    <d v="2026-08-12T00:00:00"/>
    <n v="1"/>
    <n v="2"/>
    <n v="31"/>
    <n v="1860"/>
    <x v="0"/>
    <x v="1"/>
    <s v="NORMAL"/>
    <x v="1"/>
  </r>
  <r>
    <n v="591"/>
    <d v="2026-08-12T00:00:00"/>
    <n v="2"/>
    <n v="1"/>
    <n v="25.8"/>
    <n v="2322"/>
    <x v="1"/>
    <x v="0"/>
    <s v="NORMAL"/>
    <x v="1"/>
  </r>
  <r>
    <n v="592"/>
    <d v="2026-08-12T00:00:00"/>
    <n v="2"/>
    <n v="2"/>
    <n v="32.299999999999997"/>
    <n v="2907"/>
    <x v="1"/>
    <x v="1"/>
    <s v="NORMAL"/>
    <x v="1"/>
  </r>
  <r>
    <n v="593"/>
    <d v="2026-08-12T00:00:00"/>
    <n v="3"/>
    <n v="1"/>
    <n v="9.8000000000000007"/>
    <n v="784"/>
    <x v="2"/>
    <x v="0"/>
    <s v="NORMAL"/>
    <x v="1"/>
  </r>
  <r>
    <n v="594"/>
    <d v="2026-08-12T00:00:00"/>
    <n v="3"/>
    <n v="2"/>
    <n v="18.2"/>
    <n v="1456"/>
    <x v="2"/>
    <x v="1"/>
    <s v="NORMAL"/>
    <x v="1"/>
  </r>
  <r>
    <n v="595"/>
    <d v="2026-08-12T00:00:00"/>
    <n v="4"/>
    <n v="1"/>
    <n v="62.3"/>
    <n v="1558"/>
    <x v="3"/>
    <x v="0"/>
    <s v="BIG"/>
    <x v="1"/>
  </r>
  <r>
    <n v="596"/>
    <d v="2026-08-12T00:00:00"/>
    <n v="4"/>
    <n v="2"/>
    <n v="161.69999999999999"/>
    <n v="4042"/>
    <x v="3"/>
    <x v="1"/>
    <s v="BIG"/>
    <x v="1"/>
  </r>
  <r>
    <n v="597"/>
    <d v="2026-08-12T00:00:00"/>
    <n v="5"/>
    <n v="1"/>
    <n v="14.3"/>
    <n v="1573"/>
    <x v="4"/>
    <x v="0"/>
    <s v="NORMAL"/>
    <x v="1"/>
  </r>
  <r>
    <n v="598"/>
    <d v="2026-08-12T00:00:00"/>
    <n v="5"/>
    <n v="2"/>
    <n v="19.100000000000001"/>
    <n v="2101"/>
    <x v="4"/>
    <x v="1"/>
    <s v="NORMAL"/>
    <x v="1"/>
  </r>
  <r>
    <n v="599"/>
    <d v="2026-08-12T00:00:00"/>
    <n v="6"/>
    <n v="1"/>
    <n v="5.9"/>
    <n v="1298"/>
    <x v="5"/>
    <x v="0"/>
    <s v="NORMAL"/>
    <x v="1"/>
  </r>
  <r>
    <n v="600"/>
    <d v="2026-08-12T00:00:00"/>
    <n v="6"/>
    <n v="2"/>
    <n v="6.2"/>
    <n v="1364"/>
    <x v="5"/>
    <x v="1"/>
    <s v="NORMAL"/>
    <x v="1"/>
  </r>
  <r>
    <n v="601"/>
    <d v="2026-08-12T00:00:00"/>
    <n v="7"/>
    <n v="1"/>
    <n v="33.1"/>
    <n v="3144"/>
    <x v="6"/>
    <x v="0"/>
    <s v="NORMAL"/>
    <x v="1"/>
  </r>
  <r>
    <n v="602"/>
    <d v="2026-08-12T00:00:00"/>
    <n v="7"/>
    <n v="2"/>
    <n v="45.4"/>
    <n v="4313"/>
    <x v="6"/>
    <x v="1"/>
    <s v="NORMAL"/>
    <x v="1"/>
  </r>
  <r>
    <n v="603"/>
    <d v="2026-08-13T00:00:00"/>
    <n v="1"/>
    <n v="1"/>
    <n v="13.3"/>
    <n v="798"/>
    <x v="0"/>
    <x v="0"/>
    <s v="NORMAL"/>
    <x v="1"/>
  </r>
  <r>
    <n v="604"/>
    <d v="2026-08-13T00:00:00"/>
    <n v="1"/>
    <n v="2"/>
    <n v="30.7"/>
    <n v="1842"/>
    <x v="0"/>
    <x v="1"/>
    <s v="NORMAL"/>
    <x v="1"/>
  </r>
  <r>
    <n v="605"/>
    <d v="2026-08-13T00:00:00"/>
    <n v="2"/>
    <n v="1"/>
    <n v="21.5"/>
    <n v="1935"/>
    <x v="1"/>
    <x v="0"/>
    <s v="NORMAL"/>
    <x v="1"/>
  </r>
  <r>
    <n v="606"/>
    <d v="2026-08-13T00:00:00"/>
    <n v="2"/>
    <n v="2"/>
    <n v="26.3"/>
    <n v="2367"/>
    <x v="1"/>
    <x v="1"/>
    <s v="NORMAL"/>
    <x v="1"/>
  </r>
  <r>
    <n v="607"/>
    <d v="2026-08-13T00:00:00"/>
    <n v="3"/>
    <n v="1"/>
    <n v="5.8"/>
    <n v="464"/>
    <x v="2"/>
    <x v="0"/>
    <s v="NORMAL"/>
    <x v="1"/>
  </r>
  <r>
    <n v="608"/>
    <d v="2026-08-13T00:00:00"/>
    <n v="3"/>
    <n v="2"/>
    <n v="13.8"/>
    <n v="1104"/>
    <x v="2"/>
    <x v="1"/>
    <s v="NORMAL"/>
    <x v="1"/>
  </r>
  <r>
    <n v="609"/>
    <d v="2026-08-13T00:00:00"/>
    <n v="4"/>
    <n v="1"/>
    <n v="89.4"/>
    <n v="2235"/>
    <x v="3"/>
    <x v="0"/>
    <s v="BIG"/>
    <x v="1"/>
  </r>
  <r>
    <n v="610"/>
    <d v="2026-08-13T00:00:00"/>
    <n v="4"/>
    <n v="2"/>
    <n v="129.4"/>
    <n v="3235"/>
    <x v="3"/>
    <x v="1"/>
    <s v="BIG"/>
    <x v="1"/>
  </r>
  <r>
    <n v="611"/>
    <d v="2026-08-13T00:00:00"/>
    <n v="5"/>
    <n v="1"/>
    <n v="14.1"/>
    <n v="1551"/>
    <x v="4"/>
    <x v="0"/>
    <s v="NORMAL"/>
    <x v="1"/>
  </r>
  <r>
    <n v="612"/>
    <d v="2026-08-13T00:00:00"/>
    <n v="5"/>
    <n v="2"/>
    <n v="18.899999999999999"/>
    <n v="2079"/>
    <x v="4"/>
    <x v="1"/>
    <s v="NORMAL"/>
    <x v="1"/>
  </r>
  <r>
    <n v="613"/>
    <d v="2026-08-13T00:00:00"/>
    <n v="6"/>
    <n v="1"/>
    <n v="3.2"/>
    <n v="704"/>
    <x v="5"/>
    <x v="0"/>
    <s v="NORMAL"/>
    <x v="1"/>
  </r>
  <r>
    <n v="614"/>
    <d v="2026-08-13T00:00:00"/>
    <n v="6"/>
    <n v="2"/>
    <n v="5.3"/>
    <n v="1166"/>
    <x v="5"/>
    <x v="1"/>
    <s v="NORMAL"/>
    <x v="1"/>
  </r>
  <r>
    <n v="615"/>
    <d v="2026-08-13T00:00:00"/>
    <n v="7"/>
    <n v="1"/>
    <n v="20.6"/>
    <n v="1957"/>
    <x v="6"/>
    <x v="0"/>
    <s v="NORMAL"/>
    <x v="1"/>
  </r>
  <r>
    <n v="616"/>
    <d v="2026-08-13T00:00:00"/>
    <n v="7"/>
    <n v="2"/>
    <n v="37.4"/>
    <n v="3553"/>
    <x v="6"/>
    <x v="1"/>
    <s v="NORMAL"/>
    <x v="1"/>
  </r>
  <r>
    <n v="617"/>
    <d v="2026-08-14T00:00:00"/>
    <n v="1"/>
    <n v="1"/>
    <n v="19.899999999999999"/>
    <n v="1194"/>
    <x v="0"/>
    <x v="0"/>
    <s v="NORMAL"/>
    <x v="1"/>
  </r>
  <r>
    <n v="618"/>
    <d v="2026-08-14T00:00:00"/>
    <n v="1"/>
    <n v="2"/>
    <n v="24.6"/>
    <n v="1476"/>
    <x v="0"/>
    <x v="1"/>
    <s v="NORMAL"/>
    <x v="1"/>
  </r>
  <r>
    <n v="619"/>
    <d v="2026-08-14T00:00:00"/>
    <n v="2"/>
    <n v="1"/>
    <n v="22.9"/>
    <n v="2061"/>
    <x v="1"/>
    <x v="0"/>
    <s v="NORMAL"/>
    <x v="1"/>
  </r>
  <r>
    <n v="620"/>
    <d v="2026-08-14T00:00:00"/>
    <n v="2"/>
    <n v="2"/>
    <n v="30.5"/>
    <n v="2745"/>
    <x v="1"/>
    <x v="1"/>
    <s v="NORMAL"/>
    <x v="1"/>
  </r>
  <r>
    <n v="621"/>
    <d v="2026-08-14T00:00:00"/>
    <n v="3"/>
    <n v="1"/>
    <n v="9"/>
    <n v="720"/>
    <x v="2"/>
    <x v="0"/>
    <s v="NORMAL"/>
    <x v="1"/>
  </r>
  <r>
    <n v="622"/>
    <d v="2026-08-14T00:00:00"/>
    <n v="3"/>
    <n v="2"/>
    <n v="14.9"/>
    <n v="1192"/>
    <x v="2"/>
    <x v="1"/>
    <s v="NORMAL"/>
    <x v="1"/>
  </r>
  <r>
    <n v="623"/>
    <d v="2026-08-14T00:00:00"/>
    <n v="4"/>
    <n v="1"/>
    <n v="82.9"/>
    <n v="2072"/>
    <x v="3"/>
    <x v="0"/>
    <s v="BIG"/>
    <x v="1"/>
  </r>
  <r>
    <n v="624"/>
    <d v="2026-08-14T00:00:00"/>
    <n v="4"/>
    <n v="2"/>
    <n v="131.30000000000001"/>
    <n v="3283"/>
    <x v="3"/>
    <x v="1"/>
    <s v="BIG"/>
    <x v="1"/>
  </r>
  <r>
    <n v="625"/>
    <d v="2026-08-14T00:00:00"/>
    <n v="5"/>
    <n v="1"/>
    <n v="10"/>
    <n v="1100"/>
    <x v="4"/>
    <x v="0"/>
    <s v="NORMAL"/>
    <x v="1"/>
  </r>
  <r>
    <n v="626"/>
    <d v="2026-08-14T00:00:00"/>
    <n v="5"/>
    <n v="2"/>
    <n v="20.8"/>
    <n v="2288"/>
    <x v="4"/>
    <x v="1"/>
    <s v="NORMAL"/>
    <x v="1"/>
  </r>
  <r>
    <n v="627"/>
    <d v="2026-08-14T00:00:00"/>
    <n v="6"/>
    <n v="1"/>
    <n v="4.2"/>
    <n v="924"/>
    <x v="5"/>
    <x v="0"/>
    <s v="NORMAL"/>
    <x v="1"/>
  </r>
  <r>
    <n v="628"/>
    <d v="2026-08-14T00:00:00"/>
    <n v="6"/>
    <n v="2"/>
    <n v="6.8"/>
    <n v="1496"/>
    <x v="5"/>
    <x v="1"/>
    <s v="NORMAL"/>
    <x v="1"/>
  </r>
  <r>
    <n v="629"/>
    <d v="2026-08-14T00:00:00"/>
    <n v="7"/>
    <n v="1"/>
    <n v="17.7"/>
    <n v="1682"/>
    <x v="6"/>
    <x v="0"/>
    <s v="NORMAL"/>
    <x v="1"/>
  </r>
  <r>
    <n v="630"/>
    <d v="2026-08-14T00:00:00"/>
    <n v="7"/>
    <n v="2"/>
    <n v="40.200000000000003"/>
    <n v="3819"/>
    <x v="6"/>
    <x v="1"/>
    <s v="NORMAL"/>
    <x v="1"/>
  </r>
  <r>
    <n v="631"/>
    <d v="2026-08-15T00:00:00"/>
    <n v="1"/>
    <n v="1"/>
    <n v="31"/>
    <n v="1860"/>
    <x v="0"/>
    <x v="0"/>
    <s v="NORMAL"/>
    <x v="1"/>
  </r>
  <r>
    <n v="632"/>
    <d v="2026-08-15T00:00:00"/>
    <n v="1"/>
    <n v="2"/>
    <n v="36.200000000000003"/>
    <n v="2172"/>
    <x v="0"/>
    <x v="1"/>
    <s v="NORMAL"/>
    <x v="1"/>
  </r>
  <r>
    <n v="633"/>
    <d v="2026-08-15T00:00:00"/>
    <n v="2"/>
    <n v="1"/>
    <n v="29.4"/>
    <n v="2646"/>
    <x v="1"/>
    <x v="0"/>
    <s v="NORMAL"/>
    <x v="1"/>
  </r>
  <r>
    <n v="634"/>
    <d v="2026-08-15T00:00:00"/>
    <n v="2"/>
    <n v="2"/>
    <n v="49.1"/>
    <n v="4419"/>
    <x v="1"/>
    <x v="1"/>
    <s v="NORMAL"/>
    <x v="1"/>
  </r>
  <r>
    <n v="635"/>
    <d v="2026-08-15T00:00:00"/>
    <n v="3"/>
    <n v="1"/>
    <n v="11.8"/>
    <n v="944"/>
    <x v="2"/>
    <x v="0"/>
    <s v="NORMAL"/>
    <x v="1"/>
  </r>
  <r>
    <n v="636"/>
    <d v="2026-08-15T00:00:00"/>
    <n v="3"/>
    <n v="2"/>
    <n v="19.2"/>
    <n v="1536"/>
    <x v="2"/>
    <x v="1"/>
    <s v="NORMAL"/>
    <x v="1"/>
  </r>
  <r>
    <n v="637"/>
    <d v="2026-08-15T00:00:00"/>
    <n v="4"/>
    <n v="1"/>
    <n v="101.4"/>
    <n v="2535"/>
    <x v="3"/>
    <x v="0"/>
    <s v="BIG"/>
    <x v="1"/>
  </r>
  <r>
    <n v="638"/>
    <d v="2026-08-15T00:00:00"/>
    <n v="4"/>
    <n v="2"/>
    <n v="154.6"/>
    <n v="3865"/>
    <x v="3"/>
    <x v="1"/>
    <s v="BIG"/>
    <x v="1"/>
  </r>
  <r>
    <n v="639"/>
    <d v="2026-08-15T00:00:00"/>
    <n v="5"/>
    <n v="1"/>
    <n v="15.8"/>
    <n v="1738"/>
    <x v="4"/>
    <x v="0"/>
    <s v="NORMAL"/>
    <x v="1"/>
  </r>
  <r>
    <n v="640"/>
    <d v="2026-08-15T00:00:00"/>
    <n v="5"/>
    <n v="2"/>
    <n v="27.2"/>
    <n v="2992"/>
    <x v="4"/>
    <x v="1"/>
    <s v="NORMAL"/>
    <x v="1"/>
  </r>
  <r>
    <n v="641"/>
    <d v="2026-08-15T00:00:00"/>
    <n v="6"/>
    <n v="1"/>
    <n v="6.3"/>
    <n v="1386"/>
    <x v="5"/>
    <x v="0"/>
    <s v="NORMAL"/>
    <x v="1"/>
  </r>
  <r>
    <n v="642"/>
    <d v="2026-08-15T00:00:00"/>
    <n v="6"/>
    <n v="2"/>
    <n v="7.2"/>
    <n v="1584"/>
    <x v="5"/>
    <x v="1"/>
    <s v="NORMAL"/>
    <x v="1"/>
  </r>
  <r>
    <n v="643"/>
    <d v="2026-08-15T00:00:00"/>
    <n v="7"/>
    <n v="1"/>
    <n v="31.4"/>
    <n v="2983"/>
    <x v="6"/>
    <x v="0"/>
    <s v="NORMAL"/>
    <x v="1"/>
  </r>
  <r>
    <n v="644"/>
    <d v="2026-08-15T00:00:00"/>
    <n v="7"/>
    <n v="2"/>
    <n v="44"/>
    <n v="4180"/>
    <x v="6"/>
    <x v="1"/>
    <s v="NORMAL"/>
    <x v="1"/>
  </r>
  <r>
    <n v="645"/>
    <d v="2026-08-16T00:00:00"/>
    <n v="1"/>
    <n v="1"/>
    <n v="28.9"/>
    <n v="1734"/>
    <x v="0"/>
    <x v="0"/>
    <s v="NORMAL"/>
    <x v="1"/>
  </r>
  <r>
    <n v="646"/>
    <d v="2026-08-16T00:00:00"/>
    <n v="1"/>
    <n v="2"/>
    <n v="31.1"/>
    <n v="1866"/>
    <x v="0"/>
    <x v="1"/>
    <s v="NORMAL"/>
    <x v="1"/>
  </r>
  <r>
    <n v="647"/>
    <d v="2026-08-16T00:00:00"/>
    <n v="2"/>
    <n v="1"/>
    <n v="35.5"/>
    <n v="3195"/>
    <x v="1"/>
    <x v="0"/>
    <s v="NORMAL"/>
    <x v="1"/>
  </r>
  <r>
    <n v="648"/>
    <d v="2026-08-16T00:00:00"/>
    <n v="2"/>
    <n v="2"/>
    <n v="36.6"/>
    <n v="3294"/>
    <x v="1"/>
    <x v="1"/>
    <s v="NORMAL"/>
    <x v="1"/>
  </r>
  <r>
    <n v="649"/>
    <d v="2026-08-16T00:00:00"/>
    <n v="3"/>
    <n v="1"/>
    <n v="8.9"/>
    <n v="712"/>
    <x v="2"/>
    <x v="0"/>
    <s v="NORMAL"/>
    <x v="1"/>
  </r>
  <r>
    <n v="650"/>
    <d v="2026-08-16T00:00:00"/>
    <n v="3"/>
    <n v="2"/>
    <n v="17.600000000000001"/>
    <n v="1408"/>
    <x v="2"/>
    <x v="1"/>
    <s v="NORMAL"/>
    <x v="1"/>
  </r>
  <r>
    <n v="651"/>
    <d v="2026-08-16T00:00:00"/>
    <n v="4"/>
    <n v="1"/>
    <n v="102.6"/>
    <n v="2565"/>
    <x v="3"/>
    <x v="0"/>
    <s v="BIG"/>
    <x v="1"/>
  </r>
  <r>
    <n v="652"/>
    <d v="2026-08-16T00:00:00"/>
    <n v="4"/>
    <n v="2"/>
    <n v="158.9"/>
    <n v="3972"/>
    <x v="3"/>
    <x v="1"/>
    <s v="BIG"/>
    <x v="1"/>
  </r>
  <r>
    <n v="653"/>
    <d v="2026-08-16T00:00:00"/>
    <n v="5"/>
    <n v="1"/>
    <n v="22.7"/>
    <n v="2497"/>
    <x v="4"/>
    <x v="0"/>
    <s v="NORMAL"/>
    <x v="1"/>
  </r>
  <r>
    <n v="654"/>
    <d v="2026-08-16T00:00:00"/>
    <n v="5"/>
    <n v="2"/>
    <n v="25.8"/>
    <n v="2838"/>
    <x v="4"/>
    <x v="1"/>
    <s v="NORMAL"/>
    <x v="1"/>
  </r>
  <r>
    <n v="655"/>
    <d v="2026-08-16T00:00:00"/>
    <n v="6"/>
    <n v="1"/>
    <n v="5.4"/>
    <n v="1188"/>
    <x v="5"/>
    <x v="0"/>
    <s v="NORMAL"/>
    <x v="1"/>
  </r>
  <r>
    <n v="656"/>
    <d v="2026-08-16T00:00:00"/>
    <n v="6"/>
    <n v="2"/>
    <n v="6.1"/>
    <n v="1342"/>
    <x v="5"/>
    <x v="1"/>
    <s v="NORMAL"/>
    <x v="1"/>
  </r>
  <r>
    <n v="657"/>
    <d v="2026-08-16T00:00:00"/>
    <n v="7"/>
    <n v="1"/>
    <n v="40.700000000000003"/>
    <n v="3867"/>
    <x v="6"/>
    <x v="0"/>
    <s v="NORMAL"/>
    <x v="1"/>
  </r>
  <r>
    <n v="658"/>
    <d v="2026-08-16T00:00:00"/>
    <n v="7"/>
    <n v="2"/>
    <n v="54.9"/>
    <n v="5216"/>
    <x v="6"/>
    <x v="1"/>
    <s v="BIG"/>
    <x v="1"/>
  </r>
  <r>
    <n v="659"/>
    <d v="2026-08-17T00:00:00"/>
    <n v="1"/>
    <n v="1"/>
    <n v="22.1"/>
    <n v="1326"/>
    <x v="0"/>
    <x v="0"/>
    <s v="NORMAL"/>
    <x v="1"/>
  </r>
  <r>
    <n v="660"/>
    <d v="2026-08-17T00:00:00"/>
    <n v="1"/>
    <n v="2"/>
    <n v="31.1"/>
    <n v="1866"/>
    <x v="0"/>
    <x v="1"/>
    <s v="NORMAL"/>
    <x v="1"/>
  </r>
  <r>
    <n v="661"/>
    <d v="2026-08-17T00:00:00"/>
    <n v="2"/>
    <n v="1"/>
    <n v="20.2"/>
    <n v="1818"/>
    <x v="1"/>
    <x v="0"/>
    <s v="NORMAL"/>
    <x v="1"/>
  </r>
  <r>
    <n v="662"/>
    <d v="2026-08-17T00:00:00"/>
    <n v="2"/>
    <n v="2"/>
    <n v="33.6"/>
    <n v="3024"/>
    <x v="1"/>
    <x v="1"/>
    <s v="NORMAL"/>
    <x v="1"/>
  </r>
  <r>
    <n v="663"/>
    <d v="2026-08-17T00:00:00"/>
    <n v="3"/>
    <n v="1"/>
    <n v="9.9"/>
    <n v="792"/>
    <x v="2"/>
    <x v="0"/>
    <s v="NORMAL"/>
    <x v="1"/>
  </r>
  <r>
    <n v="664"/>
    <d v="2026-08-17T00:00:00"/>
    <n v="3"/>
    <n v="2"/>
    <n v="13.4"/>
    <n v="1072"/>
    <x v="2"/>
    <x v="1"/>
    <s v="NORMAL"/>
    <x v="1"/>
  </r>
  <r>
    <n v="665"/>
    <d v="2026-08-17T00:00:00"/>
    <n v="4"/>
    <n v="1"/>
    <n v="82"/>
    <n v="2050"/>
    <x v="3"/>
    <x v="0"/>
    <s v="BIG"/>
    <x v="1"/>
  </r>
  <r>
    <n v="666"/>
    <d v="2026-08-17T00:00:00"/>
    <n v="4"/>
    <n v="2"/>
    <n v="87.4"/>
    <n v="2185"/>
    <x v="3"/>
    <x v="1"/>
    <s v="BIG"/>
    <x v="1"/>
  </r>
  <r>
    <n v="667"/>
    <d v="2026-08-17T00:00:00"/>
    <n v="5"/>
    <n v="1"/>
    <n v="15.5"/>
    <n v="1705"/>
    <x v="4"/>
    <x v="0"/>
    <s v="NORMAL"/>
    <x v="1"/>
  </r>
  <r>
    <n v="668"/>
    <d v="2026-08-17T00:00:00"/>
    <n v="5"/>
    <n v="2"/>
    <n v="19.399999999999999"/>
    <n v="2134"/>
    <x v="4"/>
    <x v="1"/>
    <s v="NORMAL"/>
    <x v="1"/>
  </r>
  <r>
    <n v="669"/>
    <d v="2026-08-17T00:00:00"/>
    <n v="6"/>
    <n v="1"/>
    <n v="3.1"/>
    <n v="682"/>
    <x v="5"/>
    <x v="0"/>
    <s v="NORMAL"/>
    <x v="1"/>
  </r>
  <r>
    <n v="670"/>
    <d v="2026-08-17T00:00:00"/>
    <n v="6"/>
    <n v="2"/>
    <n v="5.8"/>
    <n v="1276"/>
    <x v="5"/>
    <x v="1"/>
    <s v="NORMAL"/>
    <x v="1"/>
  </r>
  <r>
    <n v="671"/>
    <d v="2026-08-17T00:00:00"/>
    <n v="7"/>
    <n v="1"/>
    <n v="16.3"/>
    <n v="1548"/>
    <x v="6"/>
    <x v="0"/>
    <s v="NORMAL"/>
    <x v="1"/>
  </r>
  <r>
    <n v="672"/>
    <d v="2026-08-17T00:00:00"/>
    <n v="7"/>
    <n v="2"/>
    <n v="44.4"/>
    <n v="4218"/>
    <x v="6"/>
    <x v="1"/>
    <s v="NORMAL"/>
    <x v="1"/>
  </r>
  <r>
    <n v="673"/>
    <d v="2026-08-18T00:00:00"/>
    <n v="1"/>
    <n v="1"/>
    <n v="23.4"/>
    <n v="1404"/>
    <x v="0"/>
    <x v="0"/>
    <s v="NORMAL"/>
    <x v="1"/>
  </r>
  <r>
    <n v="674"/>
    <d v="2026-08-18T00:00:00"/>
    <n v="1"/>
    <n v="2"/>
    <n v="29.7"/>
    <n v="1782"/>
    <x v="0"/>
    <x v="1"/>
    <s v="NORMAL"/>
    <x v="1"/>
  </r>
  <r>
    <n v="675"/>
    <d v="2026-08-18T00:00:00"/>
    <n v="2"/>
    <n v="1"/>
    <n v="19.2"/>
    <n v="1728"/>
    <x v="1"/>
    <x v="0"/>
    <s v="NORMAL"/>
    <x v="1"/>
  </r>
  <r>
    <n v="676"/>
    <d v="2026-08-18T00:00:00"/>
    <n v="2"/>
    <n v="2"/>
    <n v="29.2"/>
    <n v="2628"/>
    <x v="1"/>
    <x v="1"/>
    <s v="NORMAL"/>
    <x v="1"/>
  </r>
  <r>
    <n v="677"/>
    <d v="2026-08-18T00:00:00"/>
    <n v="3"/>
    <n v="1"/>
    <n v="8.6999999999999993"/>
    <n v="696"/>
    <x v="2"/>
    <x v="0"/>
    <s v="NORMAL"/>
    <x v="1"/>
  </r>
  <r>
    <n v="678"/>
    <d v="2026-08-18T00:00:00"/>
    <n v="3"/>
    <n v="2"/>
    <n v="7"/>
    <n v="560"/>
    <x v="2"/>
    <x v="1"/>
    <s v="NORMAL"/>
    <x v="1"/>
  </r>
  <r>
    <n v="679"/>
    <d v="2026-08-18T00:00:00"/>
    <n v="4"/>
    <n v="1"/>
    <n v="82.9"/>
    <n v="2072"/>
    <x v="3"/>
    <x v="0"/>
    <s v="BIG"/>
    <x v="1"/>
  </r>
  <r>
    <n v="680"/>
    <d v="2026-08-18T00:00:00"/>
    <n v="4"/>
    <n v="2"/>
    <n v="135.9"/>
    <n v="3398"/>
    <x v="3"/>
    <x v="1"/>
    <s v="BIG"/>
    <x v="1"/>
  </r>
  <r>
    <n v="681"/>
    <d v="2026-08-18T00:00:00"/>
    <n v="5"/>
    <n v="1"/>
    <n v="14.1"/>
    <n v="1551"/>
    <x v="4"/>
    <x v="0"/>
    <s v="NORMAL"/>
    <x v="1"/>
  </r>
  <r>
    <n v="682"/>
    <d v="2026-08-18T00:00:00"/>
    <n v="5"/>
    <n v="2"/>
    <n v="20.3"/>
    <n v="2233"/>
    <x v="4"/>
    <x v="1"/>
    <s v="NORMAL"/>
    <x v="1"/>
  </r>
  <r>
    <n v="683"/>
    <d v="2026-08-18T00:00:00"/>
    <n v="6"/>
    <n v="1"/>
    <n v="4.0999999999999996"/>
    <n v="902"/>
    <x v="5"/>
    <x v="0"/>
    <s v="NORMAL"/>
    <x v="1"/>
  </r>
  <r>
    <n v="684"/>
    <d v="2026-08-18T00:00:00"/>
    <n v="6"/>
    <n v="2"/>
    <n v="6.4"/>
    <n v="1408"/>
    <x v="5"/>
    <x v="1"/>
    <s v="NORMAL"/>
    <x v="1"/>
  </r>
  <r>
    <n v="685"/>
    <d v="2026-08-18T00:00:00"/>
    <n v="7"/>
    <n v="1"/>
    <n v="31.7"/>
    <n v="3012"/>
    <x v="6"/>
    <x v="0"/>
    <s v="NORMAL"/>
    <x v="1"/>
  </r>
  <r>
    <n v="686"/>
    <d v="2026-08-18T00:00:00"/>
    <n v="7"/>
    <n v="2"/>
    <n v="39.1"/>
    <n v="3714"/>
    <x v="6"/>
    <x v="1"/>
    <s v="NORMAL"/>
    <x v="1"/>
  </r>
  <r>
    <n v="687"/>
    <d v="2026-08-19T00:00:00"/>
    <n v="1"/>
    <n v="1"/>
    <n v="17.2"/>
    <n v="1032"/>
    <x v="0"/>
    <x v="0"/>
    <s v="NORMAL"/>
    <x v="1"/>
  </r>
  <r>
    <n v="688"/>
    <d v="2026-08-19T00:00:00"/>
    <n v="1"/>
    <n v="2"/>
    <n v="27.2"/>
    <n v="1632"/>
    <x v="0"/>
    <x v="1"/>
    <s v="NORMAL"/>
    <x v="1"/>
  </r>
  <r>
    <n v="689"/>
    <d v="2026-08-19T00:00:00"/>
    <n v="2"/>
    <n v="1"/>
    <n v="24.9"/>
    <n v="2241"/>
    <x v="1"/>
    <x v="0"/>
    <s v="NORMAL"/>
    <x v="1"/>
  </r>
  <r>
    <n v="690"/>
    <d v="2026-08-19T00:00:00"/>
    <n v="2"/>
    <n v="2"/>
    <n v="47.2"/>
    <n v="4248"/>
    <x v="1"/>
    <x v="1"/>
    <s v="NORMAL"/>
    <x v="1"/>
  </r>
  <r>
    <n v="691"/>
    <d v="2026-08-19T00:00:00"/>
    <n v="3"/>
    <n v="1"/>
    <n v="8.4"/>
    <n v="672"/>
    <x v="2"/>
    <x v="0"/>
    <s v="NORMAL"/>
    <x v="1"/>
  </r>
  <r>
    <n v="692"/>
    <d v="2026-08-19T00:00:00"/>
    <n v="3"/>
    <n v="2"/>
    <n v="10.7"/>
    <n v="856"/>
    <x v="2"/>
    <x v="1"/>
    <s v="NORMAL"/>
    <x v="1"/>
  </r>
  <r>
    <n v="693"/>
    <d v="2026-08-19T00:00:00"/>
    <n v="4"/>
    <n v="1"/>
    <n v="66.099999999999994"/>
    <n v="1652"/>
    <x v="3"/>
    <x v="0"/>
    <s v="BIG"/>
    <x v="1"/>
  </r>
  <r>
    <n v="694"/>
    <d v="2026-08-19T00:00:00"/>
    <n v="4"/>
    <n v="2"/>
    <n v="69.7"/>
    <n v="1742"/>
    <x v="3"/>
    <x v="1"/>
    <s v="BIG"/>
    <x v="1"/>
  </r>
  <r>
    <n v="695"/>
    <d v="2026-08-19T00:00:00"/>
    <n v="5"/>
    <n v="1"/>
    <n v="16"/>
    <n v="1760"/>
    <x v="4"/>
    <x v="0"/>
    <s v="NORMAL"/>
    <x v="1"/>
  </r>
  <r>
    <n v="696"/>
    <d v="2026-08-19T00:00:00"/>
    <n v="5"/>
    <n v="2"/>
    <n v="16.399999999999999"/>
    <n v="1804"/>
    <x v="4"/>
    <x v="1"/>
    <s v="NORMAL"/>
    <x v="1"/>
  </r>
  <r>
    <n v="697"/>
    <d v="2026-08-19T00:00:00"/>
    <n v="6"/>
    <n v="1"/>
    <n v="3"/>
    <n v="660"/>
    <x v="5"/>
    <x v="0"/>
    <s v="NORMAL"/>
    <x v="1"/>
  </r>
  <r>
    <n v="698"/>
    <d v="2026-08-19T00:00:00"/>
    <n v="6"/>
    <n v="2"/>
    <n v="3.6"/>
    <n v="792"/>
    <x v="5"/>
    <x v="1"/>
    <s v="NORMAL"/>
    <x v="1"/>
  </r>
  <r>
    <n v="699"/>
    <d v="2026-08-19T00:00:00"/>
    <n v="7"/>
    <n v="1"/>
    <n v="20.2"/>
    <n v="1919"/>
    <x v="6"/>
    <x v="0"/>
    <s v="NORMAL"/>
    <x v="1"/>
  </r>
  <r>
    <n v="700"/>
    <d v="2026-08-19T00:00:00"/>
    <n v="7"/>
    <n v="2"/>
    <n v="43.4"/>
    <n v="4123"/>
    <x v="6"/>
    <x v="1"/>
    <s v="NORMAL"/>
    <x v="1"/>
  </r>
  <r>
    <n v="701"/>
    <d v="2026-08-20T00:00:00"/>
    <n v="1"/>
    <n v="1"/>
    <n v="14.8"/>
    <n v="888"/>
    <x v="0"/>
    <x v="0"/>
    <s v="NORMAL"/>
    <x v="1"/>
  </r>
  <r>
    <n v="702"/>
    <d v="2026-08-20T00:00:00"/>
    <n v="1"/>
    <n v="2"/>
    <n v="19.5"/>
    <n v="1170"/>
    <x v="0"/>
    <x v="1"/>
    <s v="NORMAL"/>
    <x v="1"/>
  </r>
  <r>
    <n v="703"/>
    <d v="2026-08-20T00:00:00"/>
    <n v="2"/>
    <n v="1"/>
    <n v="24.9"/>
    <n v="2241"/>
    <x v="1"/>
    <x v="0"/>
    <s v="NORMAL"/>
    <x v="1"/>
  </r>
  <r>
    <n v="704"/>
    <d v="2026-08-20T00:00:00"/>
    <n v="2"/>
    <n v="2"/>
    <n v="33.5"/>
    <n v="3015"/>
    <x v="1"/>
    <x v="1"/>
    <s v="NORMAL"/>
    <x v="1"/>
  </r>
  <r>
    <n v="705"/>
    <d v="2026-08-20T00:00:00"/>
    <n v="3"/>
    <n v="1"/>
    <n v="9.8000000000000007"/>
    <n v="784"/>
    <x v="2"/>
    <x v="0"/>
    <s v="NORMAL"/>
    <x v="1"/>
  </r>
  <r>
    <n v="706"/>
    <d v="2026-08-20T00:00:00"/>
    <n v="3"/>
    <n v="2"/>
    <n v="15.5"/>
    <n v="1240"/>
    <x v="2"/>
    <x v="1"/>
    <s v="NORMAL"/>
    <x v="1"/>
  </r>
  <r>
    <n v="707"/>
    <d v="2026-08-20T00:00:00"/>
    <n v="4"/>
    <n v="1"/>
    <n v="79.900000000000006"/>
    <n v="1998"/>
    <x v="3"/>
    <x v="0"/>
    <s v="BIG"/>
    <x v="1"/>
  </r>
  <r>
    <n v="708"/>
    <d v="2026-08-20T00:00:00"/>
    <n v="4"/>
    <n v="2"/>
    <n v="88.9"/>
    <n v="2222"/>
    <x v="3"/>
    <x v="1"/>
    <s v="BIG"/>
    <x v="1"/>
  </r>
  <r>
    <n v="709"/>
    <d v="2026-08-20T00:00:00"/>
    <n v="5"/>
    <n v="1"/>
    <n v="14.6"/>
    <n v="1606"/>
    <x v="4"/>
    <x v="0"/>
    <s v="NORMAL"/>
    <x v="1"/>
  </r>
  <r>
    <n v="710"/>
    <d v="2026-08-20T00:00:00"/>
    <n v="5"/>
    <n v="2"/>
    <n v="24.8"/>
    <n v="2728"/>
    <x v="4"/>
    <x v="1"/>
    <s v="NORMAL"/>
    <x v="1"/>
  </r>
  <r>
    <n v="711"/>
    <d v="2026-08-20T00:00:00"/>
    <n v="6"/>
    <n v="1"/>
    <n v="3.5"/>
    <n v="770"/>
    <x v="5"/>
    <x v="0"/>
    <s v="NORMAL"/>
    <x v="1"/>
  </r>
  <r>
    <n v="712"/>
    <d v="2026-08-20T00:00:00"/>
    <n v="6"/>
    <n v="2"/>
    <n v="4.3"/>
    <n v="946"/>
    <x v="5"/>
    <x v="1"/>
    <s v="NORMAL"/>
    <x v="1"/>
  </r>
  <r>
    <n v="713"/>
    <d v="2026-08-20T00:00:00"/>
    <n v="7"/>
    <n v="1"/>
    <n v="31.7"/>
    <n v="3012"/>
    <x v="6"/>
    <x v="0"/>
    <s v="NORMAL"/>
    <x v="1"/>
  </r>
  <r>
    <n v="714"/>
    <d v="2026-08-20T00:00:00"/>
    <n v="7"/>
    <n v="2"/>
    <n v="35.799999999999997"/>
    <n v="3401"/>
    <x v="6"/>
    <x v="1"/>
    <s v="NORMAL"/>
    <x v="1"/>
  </r>
  <r>
    <n v="715"/>
    <d v="2026-08-21T00:00:00"/>
    <n v="1"/>
    <n v="1"/>
    <n v="18.399999999999999"/>
    <n v="1104"/>
    <x v="0"/>
    <x v="0"/>
    <s v="NORMAL"/>
    <x v="1"/>
  </r>
  <r>
    <n v="716"/>
    <d v="2026-08-21T00:00:00"/>
    <n v="1"/>
    <n v="2"/>
    <n v="30.1"/>
    <n v="1806"/>
    <x v="0"/>
    <x v="1"/>
    <s v="NORMAL"/>
    <x v="1"/>
  </r>
  <r>
    <n v="717"/>
    <d v="2026-08-21T00:00:00"/>
    <n v="2"/>
    <n v="1"/>
    <n v="28.9"/>
    <n v="2601"/>
    <x v="1"/>
    <x v="0"/>
    <s v="NORMAL"/>
    <x v="1"/>
  </r>
  <r>
    <n v="718"/>
    <d v="2026-08-21T00:00:00"/>
    <n v="2"/>
    <n v="2"/>
    <n v="37.9"/>
    <n v="3411"/>
    <x v="1"/>
    <x v="1"/>
    <s v="NORMAL"/>
    <x v="1"/>
  </r>
  <r>
    <n v="719"/>
    <d v="2026-08-21T00:00:00"/>
    <n v="3"/>
    <n v="1"/>
    <n v="8.4"/>
    <n v="672"/>
    <x v="2"/>
    <x v="0"/>
    <s v="NORMAL"/>
    <x v="1"/>
  </r>
  <r>
    <n v="720"/>
    <d v="2026-08-21T00:00:00"/>
    <n v="3"/>
    <n v="2"/>
    <n v="15.3"/>
    <n v="1224"/>
    <x v="2"/>
    <x v="1"/>
    <s v="NORMAL"/>
    <x v="1"/>
  </r>
  <r>
    <n v="721"/>
    <d v="2026-08-21T00:00:00"/>
    <n v="4"/>
    <n v="1"/>
    <n v="114.4"/>
    <n v="2860"/>
    <x v="3"/>
    <x v="0"/>
    <s v="BIG"/>
    <x v="1"/>
  </r>
  <r>
    <n v="722"/>
    <d v="2026-08-21T00:00:00"/>
    <n v="4"/>
    <n v="2"/>
    <n v="153.30000000000001"/>
    <n v="3833"/>
    <x v="3"/>
    <x v="1"/>
    <s v="BIG"/>
    <x v="1"/>
  </r>
  <r>
    <n v="723"/>
    <d v="2026-08-21T00:00:00"/>
    <n v="5"/>
    <n v="1"/>
    <n v="17"/>
    <n v="1870"/>
    <x v="4"/>
    <x v="0"/>
    <s v="NORMAL"/>
    <x v="1"/>
  </r>
  <r>
    <n v="724"/>
    <d v="2026-08-21T00:00:00"/>
    <n v="5"/>
    <n v="2"/>
    <n v="17.399999999999999"/>
    <n v="1914"/>
    <x v="4"/>
    <x v="1"/>
    <s v="NORMAL"/>
    <x v="1"/>
  </r>
  <r>
    <n v="725"/>
    <d v="2026-08-21T00:00:00"/>
    <n v="6"/>
    <n v="1"/>
    <n v="7"/>
    <n v="1540"/>
    <x v="5"/>
    <x v="0"/>
    <s v="NORMAL"/>
    <x v="1"/>
  </r>
  <r>
    <n v="726"/>
    <d v="2026-08-21T00:00:00"/>
    <n v="6"/>
    <n v="2"/>
    <n v="4.5999999999999996"/>
    <n v="1012"/>
    <x v="5"/>
    <x v="1"/>
    <s v="NORMAL"/>
    <x v="1"/>
  </r>
  <r>
    <n v="727"/>
    <d v="2026-08-21T00:00:00"/>
    <n v="7"/>
    <n v="1"/>
    <n v="24.1"/>
    <n v="2290"/>
    <x v="6"/>
    <x v="0"/>
    <s v="NORMAL"/>
    <x v="1"/>
  </r>
  <r>
    <n v="728"/>
    <d v="2026-08-21T00:00:00"/>
    <n v="7"/>
    <n v="2"/>
    <n v="33.5"/>
    <n v="3182"/>
    <x v="6"/>
    <x v="1"/>
    <s v="NORMAL"/>
    <x v="1"/>
  </r>
  <r>
    <n v="729"/>
    <d v="2026-08-22T00:00:00"/>
    <n v="1"/>
    <n v="1"/>
    <n v="33.1"/>
    <n v="1986"/>
    <x v="0"/>
    <x v="0"/>
    <s v="NORMAL"/>
    <x v="1"/>
  </r>
  <r>
    <n v="730"/>
    <d v="2026-08-22T00:00:00"/>
    <n v="1"/>
    <n v="2"/>
    <n v="40.700000000000003"/>
    <n v="2442"/>
    <x v="0"/>
    <x v="1"/>
    <s v="NORMAL"/>
    <x v="1"/>
  </r>
  <r>
    <n v="731"/>
    <d v="2026-08-22T00:00:00"/>
    <n v="2"/>
    <n v="1"/>
    <n v="21.4"/>
    <n v="1926"/>
    <x v="1"/>
    <x v="0"/>
    <s v="NORMAL"/>
    <x v="1"/>
  </r>
  <r>
    <n v="732"/>
    <d v="2026-08-22T00:00:00"/>
    <n v="2"/>
    <n v="2"/>
    <n v="47.4"/>
    <n v="4266"/>
    <x v="1"/>
    <x v="1"/>
    <s v="NORMAL"/>
    <x v="1"/>
  </r>
  <r>
    <n v="733"/>
    <d v="2026-08-22T00:00:00"/>
    <n v="3"/>
    <n v="1"/>
    <n v="12.5"/>
    <n v="1000"/>
    <x v="2"/>
    <x v="0"/>
    <s v="NORMAL"/>
    <x v="1"/>
  </r>
  <r>
    <n v="734"/>
    <d v="2026-08-22T00:00:00"/>
    <n v="3"/>
    <n v="2"/>
    <n v="15.8"/>
    <n v="1264"/>
    <x v="2"/>
    <x v="1"/>
    <s v="NORMAL"/>
    <x v="1"/>
  </r>
  <r>
    <n v="735"/>
    <d v="2026-08-22T00:00:00"/>
    <n v="4"/>
    <n v="1"/>
    <n v="75.599999999999994"/>
    <n v="1890"/>
    <x v="3"/>
    <x v="0"/>
    <s v="BIG"/>
    <x v="1"/>
  </r>
  <r>
    <n v="736"/>
    <d v="2026-08-22T00:00:00"/>
    <n v="4"/>
    <n v="2"/>
    <n v="128.19999999999999"/>
    <n v="3205"/>
    <x v="3"/>
    <x v="1"/>
    <s v="BIG"/>
    <x v="1"/>
  </r>
  <r>
    <n v="737"/>
    <d v="2026-08-22T00:00:00"/>
    <n v="5"/>
    <n v="1"/>
    <n v="17.100000000000001"/>
    <n v="1881"/>
    <x v="4"/>
    <x v="0"/>
    <s v="NORMAL"/>
    <x v="1"/>
  </r>
  <r>
    <n v="738"/>
    <d v="2026-08-22T00:00:00"/>
    <n v="5"/>
    <n v="2"/>
    <n v="28.3"/>
    <n v="3113"/>
    <x v="4"/>
    <x v="1"/>
    <s v="NORMAL"/>
    <x v="1"/>
  </r>
  <r>
    <n v="739"/>
    <d v="2026-08-22T00:00:00"/>
    <n v="6"/>
    <n v="1"/>
    <n v="4.5"/>
    <n v="990"/>
    <x v="5"/>
    <x v="0"/>
    <s v="NORMAL"/>
    <x v="1"/>
  </r>
  <r>
    <n v="740"/>
    <d v="2026-08-22T00:00:00"/>
    <n v="6"/>
    <n v="2"/>
    <n v="8.6"/>
    <n v="1892"/>
    <x v="5"/>
    <x v="1"/>
    <s v="NORMAL"/>
    <x v="1"/>
  </r>
  <r>
    <n v="741"/>
    <d v="2026-08-22T00:00:00"/>
    <n v="7"/>
    <n v="1"/>
    <n v="26.3"/>
    <n v="2498"/>
    <x v="6"/>
    <x v="0"/>
    <s v="NORMAL"/>
    <x v="1"/>
  </r>
  <r>
    <n v="742"/>
    <d v="2026-08-22T00:00:00"/>
    <n v="7"/>
    <n v="2"/>
    <n v="31.9"/>
    <n v="3030"/>
    <x v="6"/>
    <x v="1"/>
    <s v="NORMAL"/>
    <x v="1"/>
  </r>
  <r>
    <n v="743"/>
    <d v="2026-08-23T00:00:00"/>
    <n v="1"/>
    <n v="1"/>
    <n v="21.3"/>
    <n v="1278"/>
    <x v="0"/>
    <x v="0"/>
    <s v="NORMAL"/>
    <x v="1"/>
  </r>
  <r>
    <n v="744"/>
    <d v="2026-08-23T00:00:00"/>
    <n v="1"/>
    <n v="2"/>
    <n v="47.6"/>
    <n v="2856"/>
    <x v="0"/>
    <x v="1"/>
    <s v="NORMAL"/>
    <x v="1"/>
  </r>
  <r>
    <n v="745"/>
    <d v="2026-08-23T00:00:00"/>
    <n v="2"/>
    <n v="1"/>
    <n v="26.6"/>
    <n v="2394"/>
    <x v="1"/>
    <x v="0"/>
    <s v="NORMAL"/>
    <x v="1"/>
  </r>
  <r>
    <n v="746"/>
    <d v="2026-08-23T00:00:00"/>
    <n v="2"/>
    <n v="2"/>
    <n v="66.099999999999994"/>
    <n v="5949"/>
    <x v="1"/>
    <x v="1"/>
    <s v="BIG"/>
    <x v="1"/>
  </r>
  <r>
    <n v="747"/>
    <d v="2026-08-23T00:00:00"/>
    <n v="3"/>
    <n v="1"/>
    <n v="12.4"/>
    <n v="992"/>
    <x v="2"/>
    <x v="0"/>
    <s v="NORMAL"/>
    <x v="1"/>
  </r>
  <r>
    <n v="748"/>
    <d v="2026-08-23T00:00:00"/>
    <n v="3"/>
    <n v="2"/>
    <n v="12.9"/>
    <n v="1032"/>
    <x v="2"/>
    <x v="1"/>
    <s v="NORMAL"/>
    <x v="1"/>
  </r>
  <r>
    <n v="749"/>
    <d v="2026-08-23T00:00:00"/>
    <n v="4"/>
    <n v="1"/>
    <n v="83.3"/>
    <n v="2082"/>
    <x v="3"/>
    <x v="0"/>
    <s v="BIG"/>
    <x v="1"/>
  </r>
  <r>
    <n v="750"/>
    <d v="2026-08-23T00:00:00"/>
    <n v="4"/>
    <n v="2"/>
    <n v="157.30000000000001"/>
    <n v="3933"/>
    <x v="3"/>
    <x v="1"/>
    <s v="BIG"/>
    <x v="1"/>
  </r>
  <r>
    <n v="751"/>
    <d v="2026-08-23T00:00:00"/>
    <n v="5"/>
    <n v="1"/>
    <n v="14.3"/>
    <n v="1573"/>
    <x v="4"/>
    <x v="0"/>
    <s v="NORMAL"/>
    <x v="1"/>
  </r>
  <r>
    <n v="752"/>
    <d v="2026-08-23T00:00:00"/>
    <n v="5"/>
    <n v="2"/>
    <n v="41.5"/>
    <n v="4565"/>
    <x v="4"/>
    <x v="1"/>
    <s v="NORMAL"/>
    <x v="1"/>
  </r>
  <r>
    <n v="753"/>
    <d v="2026-08-23T00:00:00"/>
    <n v="6"/>
    <n v="1"/>
    <n v="4"/>
    <n v="880"/>
    <x v="5"/>
    <x v="0"/>
    <s v="NORMAL"/>
    <x v="1"/>
  </r>
  <r>
    <n v="754"/>
    <d v="2026-08-23T00:00:00"/>
    <n v="6"/>
    <n v="2"/>
    <n v="8.5"/>
    <n v="1870"/>
    <x v="5"/>
    <x v="1"/>
    <s v="NORMAL"/>
    <x v="1"/>
  </r>
  <r>
    <n v="755"/>
    <d v="2026-08-23T00:00:00"/>
    <n v="7"/>
    <n v="1"/>
    <n v="42"/>
    <n v="3990"/>
    <x v="6"/>
    <x v="0"/>
    <s v="NORMAL"/>
    <x v="1"/>
  </r>
  <r>
    <n v="756"/>
    <d v="2026-08-23T00:00:00"/>
    <n v="7"/>
    <n v="2"/>
    <n v="47.7"/>
    <n v="4532"/>
    <x v="6"/>
    <x v="1"/>
    <s v="NORMAL"/>
    <x v="1"/>
  </r>
  <r>
    <n v="757"/>
    <d v="2026-08-24T00:00:00"/>
    <n v="1"/>
    <n v="1"/>
    <n v="16"/>
    <n v="960"/>
    <x v="0"/>
    <x v="0"/>
    <s v="NORMAL"/>
    <x v="1"/>
  </r>
  <r>
    <n v="758"/>
    <d v="2026-08-24T00:00:00"/>
    <n v="1"/>
    <n v="2"/>
    <n v="28.4"/>
    <n v="1704"/>
    <x v="0"/>
    <x v="1"/>
    <s v="NORMAL"/>
    <x v="1"/>
  </r>
  <r>
    <n v="759"/>
    <d v="2026-08-24T00:00:00"/>
    <n v="2"/>
    <n v="1"/>
    <n v="25.7"/>
    <n v="2313"/>
    <x v="1"/>
    <x v="0"/>
    <s v="NORMAL"/>
    <x v="1"/>
  </r>
  <r>
    <n v="760"/>
    <d v="2026-08-24T00:00:00"/>
    <n v="2"/>
    <n v="2"/>
    <n v="42.3"/>
    <n v="3807"/>
    <x v="1"/>
    <x v="1"/>
    <s v="NORMAL"/>
    <x v="1"/>
  </r>
  <r>
    <n v="761"/>
    <d v="2026-08-24T00:00:00"/>
    <n v="3"/>
    <n v="1"/>
    <n v="9.1"/>
    <n v="728"/>
    <x v="2"/>
    <x v="0"/>
    <s v="NORMAL"/>
    <x v="1"/>
  </r>
  <r>
    <n v="762"/>
    <d v="2026-08-24T00:00:00"/>
    <n v="3"/>
    <n v="2"/>
    <n v="9.6999999999999993"/>
    <n v="776"/>
    <x v="2"/>
    <x v="1"/>
    <s v="NORMAL"/>
    <x v="1"/>
  </r>
  <r>
    <n v="763"/>
    <d v="2026-08-24T00:00:00"/>
    <n v="4"/>
    <n v="1"/>
    <n v="80.7"/>
    <n v="2018"/>
    <x v="3"/>
    <x v="0"/>
    <s v="BIG"/>
    <x v="1"/>
  </r>
  <r>
    <n v="764"/>
    <d v="2026-08-24T00:00:00"/>
    <n v="4"/>
    <n v="2"/>
    <n v="103.8"/>
    <n v="2595"/>
    <x v="3"/>
    <x v="1"/>
    <s v="BIG"/>
    <x v="1"/>
  </r>
  <r>
    <n v="765"/>
    <d v="2026-08-24T00:00:00"/>
    <n v="5"/>
    <n v="1"/>
    <n v="8.5"/>
    <n v="935"/>
    <x v="4"/>
    <x v="0"/>
    <s v="NORMAL"/>
    <x v="1"/>
  </r>
  <r>
    <n v="766"/>
    <d v="2026-08-24T00:00:00"/>
    <n v="5"/>
    <n v="2"/>
    <n v="19.399999999999999"/>
    <n v="2134"/>
    <x v="4"/>
    <x v="1"/>
    <s v="NORMAL"/>
    <x v="1"/>
  </r>
  <r>
    <n v="767"/>
    <d v="2026-08-24T00:00:00"/>
    <n v="6"/>
    <n v="1"/>
    <n v="2.9"/>
    <n v="638"/>
    <x v="5"/>
    <x v="0"/>
    <s v="NORMAL"/>
    <x v="1"/>
  </r>
  <r>
    <n v="768"/>
    <d v="2026-08-24T00:00:00"/>
    <n v="6"/>
    <n v="2"/>
    <n v="6.7"/>
    <n v="1474"/>
    <x v="5"/>
    <x v="1"/>
    <s v="NORMAL"/>
    <x v="1"/>
  </r>
  <r>
    <n v="769"/>
    <d v="2026-08-24T00:00:00"/>
    <n v="7"/>
    <n v="1"/>
    <n v="36.1"/>
    <n v="3430"/>
    <x v="6"/>
    <x v="0"/>
    <s v="NORMAL"/>
    <x v="1"/>
  </r>
  <r>
    <n v="770"/>
    <d v="2026-08-24T00:00:00"/>
    <n v="7"/>
    <n v="2"/>
    <n v="53.5"/>
    <n v="5082"/>
    <x v="6"/>
    <x v="1"/>
    <s v="BIG"/>
    <x v="1"/>
  </r>
  <r>
    <n v="771"/>
    <d v="2026-08-25T00:00:00"/>
    <n v="1"/>
    <n v="1"/>
    <n v="17.7"/>
    <n v="1062"/>
    <x v="0"/>
    <x v="0"/>
    <s v="NORMAL"/>
    <x v="1"/>
  </r>
  <r>
    <n v="772"/>
    <d v="2026-08-25T00:00:00"/>
    <n v="1"/>
    <n v="2"/>
    <n v="27.2"/>
    <n v="1632"/>
    <x v="0"/>
    <x v="1"/>
    <s v="NORMAL"/>
    <x v="1"/>
  </r>
  <r>
    <n v="773"/>
    <d v="2026-08-25T00:00:00"/>
    <n v="2"/>
    <n v="1"/>
    <n v="27.3"/>
    <n v="2457"/>
    <x v="1"/>
    <x v="0"/>
    <s v="NORMAL"/>
    <x v="1"/>
  </r>
  <r>
    <n v="774"/>
    <d v="2026-08-25T00:00:00"/>
    <n v="2"/>
    <n v="2"/>
    <n v="43.6"/>
    <n v="3924"/>
    <x v="1"/>
    <x v="1"/>
    <s v="NORMAL"/>
    <x v="1"/>
  </r>
  <r>
    <n v="775"/>
    <d v="2026-08-25T00:00:00"/>
    <n v="3"/>
    <n v="1"/>
    <n v="8.1999999999999993"/>
    <n v="656"/>
    <x v="2"/>
    <x v="0"/>
    <s v="NORMAL"/>
    <x v="1"/>
  </r>
  <r>
    <n v="776"/>
    <d v="2026-08-25T00:00:00"/>
    <n v="3"/>
    <n v="2"/>
    <n v="13.1"/>
    <n v="1048"/>
    <x v="2"/>
    <x v="1"/>
    <s v="NORMAL"/>
    <x v="1"/>
  </r>
  <r>
    <n v="777"/>
    <d v="2026-08-25T00:00:00"/>
    <n v="4"/>
    <n v="1"/>
    <n v="115.3"/>
    <n v="2882"/>
    <x v="3"/>
    <x v="0"/>
    <s v="BIG"/>
    <x v="1"/>
  </r>
  <r>
    <n v="778"/>
    <d v="2026-08-25T00:00:00"/>
    <n v="4"/>
    <n v="2"/>
    <n v="117.4"/>
    <n v="2935"/>
    <x v="3"/>
    <x v="1"/>
    <s v="BIG"/>
    <x v="1"/>
  </r>
  <r>
    <n v="779"/>
    <d v="2026-08-25T00:00:00"/>
    <n v="5"/>
    <n v="1"/>
    <n v="13.5"/>
    <n v="1485"/>
    <x v="4"/>
    <x v="0"/>
    <s v="NORMAL"/>
    <x v="1"/>
  </r>
  <r>
    <n v="780"/>
    <d v="2026-08-25T00:00:00"/>
    <n v="5"/>
    <n v="2"/>
    <n v="23"/>
    <n v="2530"/>
    <x v="4"/>
    <x v="1"/>
    <s v="NORMAL"/>
    <x v="1"/>
  </r>
  <r>
    <n v="781"/>
    <d v="2026-08-25T00:00:00"/>
    <n v="6"/>
    <n v="1"/>
    <n v="4.5"/>
    <n v="990"/>
    <x v="5"/>
    <x v="0"/>
    <s v="NORMAL"/>
    <x v="1"/>
  </r>
  <r>
    <n v="782"/>
    <d v="2026-08-25T00:00:00"/>
    <n v="6"/>
    <n v="2"/>
    <n v="4.8"/>
    <n v="1056"/>
    <x v="5"/>
    <x v="1"/>
    <s v="NORMAL"/>
    <x v="1"/>
  </r>
  <r>
    <n v="783"/>
    <d v="2026-08-25T00:00:00"/>
    <n v="7"/>
    <n v="1"/>
    <n v="24.7"/>
    <n v="2346"/>
    <x v="6"/>
    <x v="0"/>
    <s v="NORMAL"/>
    <x v="1"/>
  </r>
  <r>
    <n v="784"/>
    <d v="2026-08-25T00:00:00"/>
    <n v="7"/>
    <n v="2"/>
    <n v="29.9"/>
    <n v="2840"/>
    <x v="6"/>
    <x v="1"/>
    <s v="NORMAL"/>
    <x v="1"/>
  </r>
  <r>
    <n v="785"/>
    <d v="2026-08-26T00:00:00"/>
    <n v="1"/>
    <n v="1"/>
    <n v="18.899999999999999"/>
    <n v="1134"/>
    <x v="0"/>
    <x v="0"/>
    <s v="NORMAL"/>
    <x v="1"/>
  </r>
  <r>
    <n v="786"/>
    <d v="2026-08-26T00:00:00"/>
    <n v="1"/>
    <n v="2"/>
    <n v="41.3"/>
    <n v="2478"/>
    <x v="0"/>
    <x v="1"/>
    <s v="NORMAL"/>
    <x v="1"/>
  </r>
  <r>
    <n v="787"/>
    <d v="2026-08-26T00:00:00"/>
    <n v="2"/>
    <n v="1"/>
    <n v="27.6"/>
    <n v="2484"/>
    <x v="1"/>
    <x v="0"/>
    <s v="NORMAL"/>
    <x v="1"/>
  </r>
  <r>
    <n v="788"/>
    <d v="2026-08-26T00:00:00"/>
    <n v="2"/>
    <n v="2"/>
    <n v="35.299999999999997"/>
    <n v="3177"/>
    <x v="1"/>
    <x v="1"/>
    <s v="NORMAL"/>
    <x v="1"/>
  </r>
  <r>
    <n v="789"/>
    <d v="2026-08-26T00:00:00"/>
    <n v="3"/>
    <n v="1"/>
    <n v="7.3"/>
    <n v="584"/>
    <x v="2"/>
    <x v="0"/>
    <s v="NORMAL"/>
    <x v="1"/>
  </r>
  <r>
    <n v="790"/>
    <d v="2026-08-26T00:00:00"/>
    <n v="3"/>
    <n v="2"/>
    <n v="12.7"/>
    <n v="1016"/>
    <x v="2"/>
    <x v="1"/>
    <s v="NORMAL"/>
    <x v="1"/>
  </r>
  <r>
    <n v="791"/>
    <d v="2026-08-26T00:00:00"/>
    <n v="4"/>
    <n v="1"/>
    <n v="96.8"/>
    <n v="2420"/>
    <x v="3"/>
    <x v="0"/>
    <s v="BIG"/>
    <x v="1"/>
  </r>
  <r>
    <n v="792"/>
    <d v="2026-08-26T00:00:00"/>
    <n v="4"/>
    <n v="2"/>
    <n v="106.5"/>
    <n v="2662"/>
    <x v="3"/>
    <x v="1"/>
    <s v="BIG"/>
    <x v="1"/>
  </r>
  <r>
    <n v="793"/>
    <d v="2026-08-26T00:00:00"/>
    <n v="5"/>
    <n v="1"/>
    <n v="19.399999999999999"/>
    <n v="2134"/>
    <x v="4"/>
    <x v="0"/>
    <s v="NORMAL"/>
    <x v="1"/>
  </r>
  <r>
    <n v="794"/>
    <d v="2026-08-26T00:00:00"/>
    <n v="5"/>
    <n v="2"/>
    <n v="16.3"/>
    <n v="1793"/>
    <x v="4"/>
    <x v="1"/>
    <s v="NORMAL"/>
    <x v="1"/>
  </r>
  <r>
    <n v="795"/>
    <d v="2026-08-26T00:00:00"/>
    <n v="6"/>
    <n v="1"/>
    <n v="3.8"/>
    <n v="836"/>
    <x v="5"/>
    <x v="0"/>
    <s v="NORMAL"/>
    <x v="1"/>
  </r>
  <r>
    <n v="796"/>
    <d v="2026-08-26T00:00:00"/>
    <n v="6"/>
    <n v="2"/>
    <n v="8.1"/>
    <n v="1782"/>
    <x v="5"/>
    <x v="1"/>
    <s v="NORMAL"/>
    <x v="1"/>
  </r>
  <r>
    <n v="797"/>
    <d v="2026-08-26T00:00:00"/>
    <n v="7"/>
    <n v="1"/>
    <n v="15.6"/>
    <n v="1482"/>
    <x v="6"/>
    <x v="0"/>
    <s v="NORMAL"/>
    <x v="1"/>
  </r>
  <r>
    <n v="798"/>
    <d v="2026-08-26T00:00:00"/>
    <n v="7"/>
    <n v="2"/>
    <n v="48.3"/>
    <n v="4588"/>
    <x v="6"/>
    <x v="1"/>
    <s v="NORMAL"/>
    <x v="1"/>
  </r>
  <r>
    <n v="799"/>
    <d v="2026-08-27T00:00:00"/>
    <n v="1"/>
    <n v="1"/>
    <n v="12.6"/>
    <n v="756"/>
    <x v="0"/>
    <x v="0"/>
    <s v="NORMAL"/>
    <x v="1"/>
  </r>
  <r>
    <n v="800"/>
    <d v="2026-08-27T00:00:00"/>
    <n v="1"/>
    <n v="2"/>
    <n v="29.5"/>
    <n v="1770"/>
    <x v="0"/>
    <x v="1"/>
    <s v="NORMAL"/>
    <x v="1"/>
  </r>
  <r>
    <n v="801"/>
    <d v="2026-08-27T00:00:00"/>
    <n v="2"/>
    <n v="1"/>
    <n v="23.2"/>
    <n v="2088"/>
    <x v="1"/>
    <x v="0"/>
    <s v="NORMAL"/>
    <x v="1"/>
  </r>
  <r>
    <n v="802"/>
    <d v="2026-08-27T00:00:00"/>
    <n v="2"/>
    <n v="2"/>
    <n v="41.9"/>
    <n v="3771"/>
    <x v="1"/>
    <x v="1"/>
    <s v="NORMAL"/>
    <x v="1"/>
  </r>
  <r>
    <n v="803"/>
    <d v="2026-08-27T00:00:00"/>
    <n v="3"/>
    <n v="1"/>
    <n v="3.3"/>
    <n v="264"/>
    <x v="2"/>
    <x v="0"/>
    <s v="NORMAL"/>
    <x v="1"/>
  </r>
  <r>
    <n v="804"/>
    <d v="2026-08-27T00:00:00"/>
    <n v="3"/>
    <n v="2"/>
    <n v="8.3000000000000007"/>
    <n v="664"/>
    <x v="2"/>
    <x v="1"/>
    <s v="NORMAL"/>
    <x v="1"/>
  </r>
  <r>
    <n v="805"/>
    <d v="2026-08-27T00:00:00"/>
    <n v="4"/>
    <n v="1"/>
    <n v="70.900000000000006"/>
    <n v="1773"/>
    <x v="3"/>
    <x v="0"/>
    <s v="BIG"/>
    <x v="1"/>
  </r>
  <r>
    <n v="806"/>
    <d v="2026-08-27T00:00:00"/>
    <n v="4"/>
    <n v="2"/>
    <n v="120.9"/>
    <n v="3022"/>
    <x v="3"/>
    <x v="1"/>
    <s v="BIG"/>
    <x v="1"/>
  </r>
  <r>
    <n v="807"/>
    <d v="2026-08-27T00:00:00"/>
    <n v="5"/>
    <n v="1"/>
    <n v="12.3"/>
    <n v="1353"/>
    <x v="4"/>
    <x v="0"/>
    <s v="NORMAL"/>
    <x v="1"/>
  </r>
  <r>
    <n v="808"/>
    <d v="2026-08-27T00:00:00"/>
    <n v="5"/>
    <n v="2"/>
    <n v="21.5"/>
    <n v="2365"/>
    <x v="4"/>
    <x v="1"/>
    <s v="NORMAL"/>
    <x v="1"/>
  </r>
  <r>
    <n v="809"/>
    <d v="2026-08-27T00:00:00"/>
    <n v="6"/>
    <n v="1"/>
    <n v="3.1"/>
    <n v="682"/>
    <x v="5"/>
    <x v="0"/>
    <s v="NORMAL"/>
    <x v="1"/>
  </r>
  <r>
    <n v="810"/>
    <d v="2026-08-27T00:00:00"/>
    <n v="6"/>
    <n v="2"/>
    <n v="5.5"/>
    <n v="1210"/>
    <x v="5"/>
    <x v="1"/>
    <s v="NORMAL"/>
    <x v="1"/>
  </r>
  <r>
    <n v="811"/>
    <d v="2026-08-27T00:00:00"/>
    <n v="7"/>
    <n v="1"/>
    <n v="21.6"/>
    <n v="2052"/>
    <x v="6"/>
    <x v="0"/>
    <s v="NORMAL"/>
    <x v="1"/>
  </r>
  <r>
    <n v="812"/>
    <d v="2026-08-27T00:00:00"/>
    <n v="7"/>
    <n v="2"/>
    <n v="40.9"/>
    <n v="3886"/>
    <x v="6"/>
    <x v="1"/>
    <s v="NORMAL"/>
    <x v="1"/>
  </r>
  <r>
    <n v="813"/>
    <d v="2026-08-28T00:00:00"/>
    <n v="1"/>
    <n v="1"/>
    <n v="22.3"/>
    <n v="1338"/>
    <x v="0"/>
    <x v="0"/>
    <s v="NORMAL"/>
    <x v="1"/>
  </r>
  <r>
    <n v="814"/>
    <d v="2026-08-28T00:00:00"/>
    <n v="1"/>
    <n v="2"/>
    <n v="38.6"/>
    <n v="2316"/>
    <x v="0"/>
    <x v="1"/>
    <s v="NORMAL"/>
    <x v="1"/>
  </r>
  <r>
    <n v="815"/>
    <d v="2026-08-28T00:00:00"/>
    <n v="2"/>
    <n v="1"/>
    <n v="20.8"/>
    <n v="1872"/>
    <x v="1"/>
    <x v="0"/>
    <s v="NORMAL"/>
    <x v="1"/>
  </r>
  <r>
    <n v="816"/>
    <d v="2026-08-28T00:00:00"/>
    <n v="2"/>
    <n v="2"/>
    <n v="33.700000000000003"/>
    <n v="3033"/>
    <x v="1"/>
    <x v="1"/>
    <s v="NORMAL"/>
    <x v="1"/>
  </r>
  <r>
    <n v="817"/>
    <d v="2026-08-28T00:00:00"/>
    <n v="3"/>
    <n v="1"/>
    <n v="9.1"/>
    <n v="728"/>
    <x v="2"/>
    <x v="0"/>
    <s v="NORMAL"/>
    <x v="1"/>
  </r>
  <r>
    <n v="818"/>
    <d v="2026-08-28T00:00:00"/>
    <n v="3"/>
    <n v="2"/>
    <n v="12.7"/>
    <n v="1016"/>
    <x v="2"/>
    <x v="1"/>
    <s v="NORMAL"/>
    <x v="1"/>
  </r>
  <r>
    <n v="819"/>
    <d v="2026-08-28T00:00:00"/>
    <n v="4"/>
    <n v="1"/>
    <n v="79.2"/>
    <n v="1980"/>
    <x v="3"/>
    <x v="0"/>
    <s v="BIG"/>
    <x v="1"/>
  </r>
  <r>
    <n v="820"/>
    <d v="2026-08-28T00:00:00"/>
    <n v="4"/>
    <n v="2"/>
    <n v="82.5"/>
    <n v="2062"/>
    <x v="3"/>
    <x v="1"/>
    <s v="BIG"/>
    <x v="1"/>
  </r>
  <r>
    <n v="821"/>
    <d v="2026-08-28T00:00:00"/>
    <n v="5"/>
    <n v="1"/>
    <n v="16.100000000000001"/>
    <n v="1771"/>
    <x v="4"/>
    <x v="0"/>
    <s v="NORMAL"/>
    <x v="1"/>
  </r>
  <r>
    <n v="822"/>
    <d v="2026-08-28T00:00:00"/>
    <n v="5"/>
    <n v="2"/>
    <n v="18.399999999999999"/>
    <n v="2024"/>
    <x v="4"/>
    <x v="1"/>
    <s v="NORMAL"/>
    <x v="1"/>
  </r>
  <r>
    <n v="823"/>
    <d v="2026-08-28T00:00:00"/>
    <n v="6"/>
    <n v="1"/>
    <n v="3.2"/>
    <n v="704"/>
    <x v="5"/>
    <x v="0"/>
    <s v="NORMAL"/>
    <x v="1"/>
  </r>
  <r>
    <n v="824"/>
    <d v="2026-08-28T00:00:00"/>
    <n v="6"/>
    <n v="2"/>
    <n v="4.0999999999999996"/>
    <n v="902"/>
    <x v="5"/>
    <x v="1"/>
    <s v="NORMAL"/>
    <x v="1"/>
  </r>
  <r>
    <n v="825"/>
    <d v="2026-08-28T00:00:00"/>
    <n v="7"/>
    <n v="1"/>
    <n v="32"/>
    <n v="3040"/>
    <x v="6"/>
    <x v="0"/>
    <s v="NORMAL"/>
    <x v="1"/>
  </r>
  <r>
    <n v="826"/>
    <d v="2026-08-28T00:00:00"/>
    <n v="7"/>
    <n v="2"/>
    <n v="37.9"/>
    <n v="3600"/>
    <x v="6"/>
    <x v="1"/>
    <s v="NORMAL"/>
    <x v="1"/>
  </r>
  <r>
    <n v="827"/>
    <d v="2026-08-29T00:00:00"/>
    <n v="1"/>
    <n v="1"/>
    <n v="30.7"/>
    <n v="1842"/>
    <x v="0"/>
    <x v="0"/>
    <s v="NORMAL"/>
    <x v="1"/>
  </r>
  <r>
    <n v="828"/>
    <d v="2026-08-29T00:00:00"/>
    <n v="1"/>
    <n v="2"/>
    <n v="39.5"/>
    <n v="2370"/>
    <x v="0"/>
    <x v="1"/>
    <s v="NORMAL"/>
    <x v="1"/>
  </r>
  <r>
    <n v="829"/>
    <d v="2026-08-29T00:00:00"/>
    <n v="2"/>
    <n v="1"/>
    <n v="19.8"/>
    <n v="1782"/>
    <x v="1"/>
    <x v="0"/>
    <s v="NORMAL"/>
    <x v="1"/>
  </r>
  <r>
    <n v="830"/>
    <d v="2026-08-29T00:00:00"/>
    <n v="2"/>
    <n v="2"/>
    <n v="35.200000000000003"/>
    <n v="3168"/>
    <x v="1"/>
    <x v="1"/>
    <s v="NORMAL"/>
    <x v="1"/>
  </r>
  <r>
    <n v="831"/>
    <d v="2026-08-29T00:00:00"/>
    <n v="3"/>
    <n v="1"/>
    <n v="13"/>
    <n v="1040"/>
    <x v="2"/>
    <x v="0"/>
    <s v="NORMAL"/>
    <x v="1"/>
  </r>
  <r>
    <n v="832"/>
    <d v="2026-08-29T00:00:00"/>
    <n v="3"/>
    <n v="2"/>
    <n v="14.3"/>
    <n v="1144"/>
    <x v="2"/>
    <x v="1"/>
    <s v="NORMAL"/>
    <x v="1"/>
  </r>
  <r>
    <n v="833"/>
    <d v="2026-08-29T00:00:00"/>
    <n v="4"/>
    <n v="1"/>
    <n v="78.2"/>
    <n v="1955"/>
    <x v="3"/>
    <x v="0"/>
    <s v="BIG"/>
    <x v="1"/>
  </r>
  <r>
    <n v="834"/>
    <d v="2026-08-29T00:00:00"/>
    <n v="4"/>
    <n v="2"/>
    <n v="144.6"/>
    <n v="3615"/>
    <x v="3"/>
    <x v="1"/>
    <s v="BIG"/>
    <x v="1"/>
  </r>
  <r>
    <n v="835"/>
    <d v="2026-08-29T00:00:00"/>
    <n v="5"/>
    <n v="1"/>
    <n v="18.100000000000001"/>
    <n v="1991"/>
    <x v="4"/>
    <x v="0"/>
    <s v="NORMAL"/>
    <x v="1"/>
  </r>
  <r>
    <n v="836"/>
    <d v="2026-08-29T00:00:00"/>
    <n v="5"/>
    <n v="2"/>
    <n v="22.4"/>
    <n v="2464"/>
    <x v="4"/>
    <x v="1"/>
    <s v="NORMAL"/>
    <x v="1"/>
  </r>
  <r>
    <n v="837"/>
    <d v="2026-08-29T00:00:00"/>
    <n v="6"/>
    <n v="1"/>
    <n v="4.7"/>
    <n v="1034"/>
    <x v="5"/>
    <x v="0"/>
    <s v="NORMAL"/>
    <x v="1"/>
  </r>
  <r>
    <n v="838"/>
    <d v="2026-08-29T00:00:00"/>
    <n v="6"/>
    <n v="2"/>
    <n v="6.8"/>
    <n v="1496"/>
    <x v="5"/>
    <x v="1"/>
    <s v="NORMAL"/>
    <x v="1"/>
  </r>
  <r>
    <n v="839"/>
    <d v="2026-08-29T00:00:00"/>
    <n v="7"/>
    <n v="1"/>
    <n v="15.7"/>
    <n v="1492"/>
    <x v="6"/>
    <x v="0"/>
    <s v="NORMAL"/>
    <x v="1"/>
  </r>
  <r>
    <n v="840"/>
    <d v="2026-08-29T00:00:00"/>
    <n v="7"/>
    <n v="2"/>
    <n v="53.7"/>
    <n v="5102"/>
    <x v="6"/>
    <x v="1"/>
    <s v="BIG"/>
    <x v="1"/>
  </r>
  <r>
    <n v="841"/>
    <d v="2026-08-30T00:00:00"/>
    <n v="1"/>
    <n v="1"/>
    <n v="20.9"/>
    <n v="1254"/>
    <x v="0"/>
    <x v="0"/>
    <s v="NORMAL"/>
    <x v="1"/>
  </r>
  <r>
    <n v="842"/>
    <d v="2026-08-30T00:00:00"/>
    <n v="1"/>
    <n v="2"/>
    <n v="47.3"/>
    <n v="2838"/>
    <x v="0"/>
    <x v="1"/>
    <s v="NORMAL"/>
    <x v="1"/>
  </r>
  <r>
    <n v="843"/>
    <d v="2026-08-30T00:00:00"/>
    <n v="2"/>
    <n v="1"/>
    <n v="23.1"/>
    <n v="2079"/>
    <x v="1"/>
    <x v="0"/>
    <s v="NORMAL"/>
    <x v="1"/>
  </r>
  <r>
    <n v="844"/>
    <d v="2026-08-30T00:00:00"/>
    <n v="2"/>
    <n v="2"/>
    <n v="30.8"/>
    <n v="2772"/>
    <x v="1"/>
    <x v="1"/>
    <s v="NORMAL"/>
    <x v="1"/>
  </r>
  <r>
    <n v="845"/>
    <d v="2026-08-30T00:00:00"/>
    <n v="3"/>
    <n v="1"/>
    <n v="13.9"/>
    <n v="1112"/>
    <x v="2"/>
    <x v="0"/>
    <s v="NORMAL"/>
    <x v="1"/>
  </r>
  <r>
    <n v="846"/>
    <d v="2026-08-30T00:00:00"/>
    <n v="3"/>
    <n v="2"/>
    <n v="11.5"/>
    <n v="920"/>
    <x v="2"/>
    <x v="1"/>
    <s v="NORMAL"/>
    <x v="1"/>
  </r>
  <r>
    <n v="847"/>
    <d v="2026-08-30T00:00:00"/>
    <n v="4"/>
    <n v="1"/>
    <n v="87.3"/>
    <n v="2182"/>
    <x v="3"/>
    <x v="0"/>
    <s v="BIG"/>
    <x v="1"/>
  </r>
  <r>
    <n v="848"/>
    <d v="2026-08-30T00:00:00"/>
    <n v="4"/>
    <n v="2"/>
    <n v="167.9"/>
    <n v="4198"/>
    <x v="3"/>
    <x v="1"/>
    <s v="BIG"/>
    <x v="1"/>
  </r>
  <r>
    <n v="849"/>
    <d v="2026-08-30T00:00:00"/>
    <n v="5"/>
    <n v="1"/>
    <n v="17.5"/>
    <n v="1925"/>
    <x v="4"/>
    <x v="0"/>
    <s v="NORMAL"/>
    <x v="1"/>
  </r>
  <r>
    <n v="850"/>
    <d v="2026-08-30T00:00:00"/>
    <n v="5"/>
    <n v="2"/>
    <n v="18.8"/>
    <n v="2068"/>
    <x v="4"/>
    <x v="1"/>
    <s v="NORMAL"/>
    <x v="1"/>
  </r>
  <r>
    <n v="851"/>
    <d v="2026-08-30T00:00:00"/>
    <n v="6"/>
    <n v="1"/>
    <n v="5.2"/>
    <n v="1144"/>
    <x v="5"/>
    <x v="0"/>
    <s v="NORMAL"/>
    <x v="1"/>
  </r>
  <r>
    <n v="852"/>
    <d v="2026-08-30T00:00:00"/>
    <n v="6"/>
    <n v="2"/>
    <n v="7.2"/>
    <n v="1584"/>
    <x v="5"/>
    <x v="1"/>
    <s v="NORMAL"/>
    <x v="1"/>
  </r>
  <r>
    <n v="853"/>
    <d v="2026-08-30T00:00:00"/>
    <n v="7"/>
    <n v="1"/>
    <n v="40.799999999999997"/>
    <n v="3876"/>
    <x v="6"/>
    <x v="0"/>
    <s v="NORMAL"/>
    <x v="1"/>
  </r>
  <r>
    <n v="854"/>
    <d v="2026-08-30T00:00:00"/>
    <n v="7"/>
    <n v="2"/>
    <n v="54.5"/>
    <n v="5178"/>
    <x v="6"/>
    <x v="1"/>
    <s v="BIG"/>
    <x v="1"/>
  </r>
  <r>
    <n v="855"/>
    <d v="2026-08-31T00:00:00"/>
    <n v="1"/>
    <n v="1"/>
    <n v="32.1"/>
    <n v="1926"/>
    <x v="0"/>
    <x v="0"/>
    <s v="NORMAL"/>
    <x v="1"/>
  </r>
  <r>
    <n v="856"/>
    <d v="2026-08-31T00:00:00"/>
    <n v="1"/>
    <n v="2"/>
    <n v="20.100000000000001"/>
    <n v="1206"/>
    <x v="0"/>
    <x v="1"/>
    <s v="NORMAL"/>
    <x v="1"/>
  </r>
  <r>
    <n v="857"/>
    <d v="2026-08-31T00:00:00"/>
    <n v="2"/>
    <n v="1"/>
    <n v="23.9"/>
    <n v="2151"/>
    <x v="1"/>
    <x v="0"/>
    <s v="NORMAL"/>
    <x v="1"/>
  </r>
  <r>
    <n v="858"/>
    <d v="2026-08-31T00:00:00"/>
    <n v="2"/>
    <n v="2"/>
    <n v="28.3"/>
    <n v="2547"/>
    <x v="1"/>
    <x v="1"/>
    <s v="NORMAL"/>
    <x v="1"/>
  </r>
  <r>
    <n v="859"/>
    <d v="2026-08-31T00:00:00"/>
    <n v="3"/>
    <n v="1"/>
    <n v="11.1"/>
    <n v="888"/>
    <x v="2"/>
    <x v="0"/>
    <s v="NORMAL"/>
    <x v="1"/>
  </r>
  <r>
    <n v="860"/>
    <d v="2026-08-31T00:00:00"/>
    <n v="3"/>
    <n v="2"/>
    <n v="15.7"/>
    <n v="1256"/>
    <x v="2"/>
    <x v="1"/>
    <s v="NORMAL"/>
    <x v="1"/>
  </r>
  <r>
    <n v="861"/>
    <d v="2026-08-31T00:00:00"/>
    <n v="4"/>
    <n v="1"/>
    <n v="92.1"/>
    <n v="2302"/>
    <x v="3"/>
    <x v="0"/>
    <s v="BIG"/>
    <x v="1"/>
  </r>
  <r>
    <n v="862"/>
    <d v="2026-08-31T00:00:00"/>
    <n v="4"/>
    <n v="2"/>
    <n v="101.3"/>
    <n v="2532"/>
    <x v="3"/>
    <x v="1"/>
    <s v="BIG"/>
    <x v="1"/>
  </r>
  <r>
    <n v="863"/>
    <d v="2026-08-31T00:00:00"/>
    <n v="5"/>
    <n v="1"/>
    <n v="12.8"/>
    <n v="1408"/>
    <x v="4"/>
    <x v="0"/>
    <s v="NORMAL"/>
    <x v="1"/>
  </r>
  <r>
    <n v="864"/>
    <d v="2026-08-31T00:00:00"/>
    <n v="5"/>
    <n v="2"/>
    <n v="13.4"/>
    <n v="1474"/>
    <x v="4"/>
    <x v="1"/>
    <s v="NORMAL"/>
    <x v="1"/>
  </r>
  <r>
    <n v="865"/>
    <d v="2026-08-31T00:00:00"/>
    <n v="6"/>
    <n v="1"/>
    <n v="5.4"/>
    <n v="1188"/>
    <x v="5"/>
    <x v="0"/>
    <s v="NORMAL"/>
    <x v="1"/>
  </r>
  <r>
    <n v="866"/>
    <d v="2026-08-31T00:00:00"/>
    <n v="6"/>
    <n v="2"/>
    <n v="6.6"/>
    <n v="1452"/>
    <x v="5"/>
    <x v="1"/>
    <s v="NORMAL"/>
    <x v="1"/>
  </r>
  <r>
    <n v="867"/>
    <d v="2026-08-31T00:00:00"/>
    <n v="7"/>
    <n v="1"/>
    <n v="24.6"/>
    <n v="2337"/>
    <x v="6"/>
    <x v="0"/>
    <s v="NORMAL"/>
    <x v="1"/>
  </r>
  <r>
    <n v="868"/>
    <d v="2026-08-31T00:00:00"/>
    <n v="7"/>
    <n v="2"/>
    <n v="46.3"/>
    <n v="4398"/>
    <x v="6"/>
    <x v="1"/>
    <s v="NORMAL"/>
    <x v="1"/>
  </r>
  <r>
    <n v="869"/>
    <d v="2026-09-01T00:00:00"/>
    <n v="1"/>
    <n v="1"/>
    <n v="36.799999999999997"/>
    <n v="2208"/>
    <x v="0"/>
    <x v="0"/>
    <s v="NORMAL"/>
    <x v="2"/>
  </r>
  <r>
    <n v="870"/>
    <d v="2026-09-01T00:00:00"/>
    <n v="1"/>
    <n v="2"/>
    <n v="34.4"/>
    <n v="2064"/>
    <x v="0"/>
    <x v="1"/>
    <s v="NORMAL"/>
    <x v="2"/>
  </r>
  <r>
    <n v="871"/>
    <d v="2026-09-01T00:00:00"/>
    <n v="2"/>
    <n v="1"/>
    <n v="17.600000000000001"/>
    <n v="1584"/>
    <x v="1"/>
    <x v="0"/>
    <s v="NORMAL"/>
    <x v="2"/>
  </r>
  <r>
    <n v="872"/>
    <d v="2026-09-01T00:00:00"/>
    <n v="2"/>
    <n v="2"/>
    <n v="20.100000000000001"/>
    <n v="1809"/>
    <x v="1"/>
    <x v="1"/>
    <s v="NORMAL"/>
    <x v="2"/>
  </r>
  <r>
    <n v="873"/>
    <d v="2026-09-01T00:00:00"/>
    <n v="3"/>
    <n v="1"/>
    <n v="14.5"/>
    <n v="1160"/>
    <x v="2"/>
    <x v="0"/>
    <s v="NORMAL"/>
    <x v="2"/>
  </r>
  <r>
    <n v="874"/>
    <d v="2026-09-01T00:00:00"/>
    <n v="3"/>
    <n v="2"/>
    <n v="13.5"/>
    <n v="1080"/>
    <x v="2"/>
    <x v="1"/>
    <s v="NORMAL"/>
    <x v="2"/>
  </r>
  <r>
    <n v="875"/>
    <d v="2026-09-01T00:00:00"/>
    <n v="4"/>
    <n v="1"/>
    <n v="35.700000000000003"/>
    <n v="893"/>
    <x v="3"/>
    <x v="0"/>
    <s v="NORMAL"/>
    <x v="2"/>
  </r>
  <r>
    <n v="876"/>
    <d v="2026-09-01T00:00:00"/>
    <n v="4"/>
    <n v="2"/>
    <n v="21.6"/>
    <n v="540"/>
    <x v="3"/>
    <x v="1"/>
    <s v="NORMAL"/>
    <x v="2"/>
  </r>
  <r>
    <n v="877"/>
    <d v="2026-09-01T00:00:00"/>
    <n v="5"/>
    <n v="1"/>
    <n v="28.7"/>
    <n v="3157"/>
    <x v="4"/>
    <x v="0"/>
    <s v="NORMAL"/>
    <x v="2"/>
  </r>
  <r>
    <n v="878"/>
    <d v="2026-09-01T00:00:00"/>
    <n v="5"/>
    <n v="2"/>
    <n v="36.299999999999997"/>
    <n v="3993"/>
    <x v="4"/>
    <x v="1"/>
    <s v="NORMAL"/>
    <x v="2"/>
  </r>
  <r>
    <n v="879"/>
    <d v="2026-09-01T00:00:00"/>
    <n v="6"/>
    <n v="1"/>
    <n v="2.2999999999999998"/>
    <n v="506"/>
    <x v="5"/>
    <x v="0"/>
    <s v="NORMAL"/>
    <x v="2"/>
  </r>
  <r>
    <n v="880"/>
    <d v="2026-09-01T00:00:00"/>
    <n v="6"/>
    <n v="2"/>
    <n v="2.1"/>
    <n v="462"/>
    <x v="5"/>
    <x v="1"/>
    <s v="NORMAL"/>
    <x v="2"/>
  </r>
  <r>
    <n v="881"/>
    <d v="2026-09-01T00:00:00"/>
    <n v="7"/>
    <n v="1"/>
    <n v="10"/>
    <n v="950"/>
    <x v="6"/>
    <x v="0"/>
    <s v="NORMAL"/>
    <x v="2"/>
  </r>
  <r>
    <n v="882"/>
    <d v="2026-09-01T00:00:00"/>
    <n v="7"/>
    <n v="2"/>
    <n v="10.4"/>
    <n v="988"/>
    <x v="6"/>
    <x v="1"/>
    <s v="NORMAL"/>
    <x v="2"/>
  </r>
  <r>
    <n v="883"/>
    <d v="2026-09-02T00:00:00"/>
    <n v="1"/>
    <n v="1"/>
    <n v="43.5"/>
    <n v="2610"/>
    <x v="0"/>
    <x v="0"/>
    <s v="NORMAL"/>
    <x v="2"/>
  </r>
  <r>
    <n v="884"/>
    <d v="2026-09-02T00:00:00"/>
    <n v="1"/>
    <n v="2"/>
    <n v="29.4"/>
    <n v="1764"/>
    <x v="0"/>
    <x v="1"/>
    <s v="NORMAL"/>
    <x v="2"/>
  </r>
  <r>
    <n v="885"/>
    <d v="2026-09-02T00:00:00"/>
    <n v="2"/>
    <n v="1"/>
    <n v="32.4"/>
    <n v="2916"/>
    <x v="1"/>
    <x v="0"/>
    <s v="NORMAL"/>
    <x v="2"/>
  </r>
  <r>
    <n v="886"/>
    <d v="2026-09-02T00:00:00"/>
    <n v="2"/>
    <n v="2"/>
    <n v="19.3"/>
    <n v="1737"/>
    <x v="1"/>
    <x v="1"/>
    <s v="NORMAL"/>
    <x v="2"/>
  </r>
  <r>
    <n v="887"/>
    <d v="2026-09-02T00:00:00"/>
    <n v="3"/>
    <n v="1"/>
    <n v="15.7"/>
    <n v="1256"/>
    <x v="2"/>
    <x v="0"/>
    <s v="NORMAL"/>
    <x v="2"/>
  </r>
  <r>
    <n v="888"/>
    <d v="2026-09-02T00:00:00"/>
    <n v="3"/>
    <n v="2"/>
    <n v="14.9"/>
    <n v="1192"/>
    <x v="2"/>
    <x v="1"/>
    <s v="NORMAL"/>
    <x v="2"/>
  </r>
  <r>
    <n v="889"/>
    <d v="2026-09-02T00:00:00"/>
    <n v="4"/>
    <n v="1"/>
    <n v="25.5"/>
    <n v="638"/>
    <x v="3"/>
    <x v="0"/>
    <s v="NORMAL"/>
    <x v="2"/>
  </r>
  <r>
    <n v="890"/>
    <d v="2026-09-02T00:00:00"/>
    <n v="4"/>
    <n v="2"/>
    <n v="32.9"/>
    <n v="822"/>
    <x v="3"/>
    <x v="1"/>
    <s v="NORMAL"/>
    <x v="2"/>
  </r>
  <r>
    <n v="891"/>
    <d v="2026-09-02T00:00:00"/>
    <n v="5"/>
    <n v="1"/>
    <n v="24.2"/>
    <n v="2662"/>
    <x v="4"/>
    <x v="0"/>
    <s v="NORMAL"/>
    <x v="2"/>
  </r>
  <r>
    <n v="892"/>
    <d v="2026-09-02T00:00:00"/>
    <n v="5"/>
    <n v="2"/>
    <n v="21.1"/>
    <n v="2321"/>
    <x v="4"/>
    <x v="1"/>
    <s v="NORMAL"/>
    <x v="2"/>
  </r>
  <r>
    <n v="893"/>
    <d v="2026-09-02T00:00:00"/>
    <n v="6"/>
    <n v="1"/>
    <n v="2"/>
    <n v="440"/>
    <x v="5"/>
    <x v="0"/>
    <s v="NORMAL"/>
    <x v="2"/>
  </r>
  <r>
    <n v="894"/>
    <d v="2026-09-02T00:00:00"/>
    <n v="6"/>
    <n v="2"/>
    <n v="2.5"/>
    <n v="550"/>
    <x v="5"/>
    <x v="1"/>
    <s v="NORMAL"/>
    <x v="2"/>
  </r>
  <r>
    <n v="895"/>
    <d v="2026-09-02T00:00:00"/>
    <n v="7"/>
    <n v="1"/>
    <n v="10.6"/>
    <n v="1007"/>
    <x v="6"/>
    <x v="0"/>
    <s v="NORMAL"/>
    <x v="2"/>
  </r>
  <r>
    <n v="896"/>
    <d v="2026-09-02T00:00:00"/>
    <n v="7"/>
    <n v="2"/>
    <n v="10.7"/>
    <n v="1016"/>
    <x v="6"/>
    <x v="1"/>
    <s v="NORMAL"/>
    <x v="2"/>
  </r>
  <r>
    <n v="897"/>
    <d v="2026-09-03T00:00:00"/>
    <n v="1"/>
    <n v="1"/>
    <n v="27.3"/>
    <n v="1638"/>
    <x v="0"/>
    <x v="0"/>
    <s v="NORMAL"/>
    <x v="2"/>
  </r>
  <r>
    <n v="898"/>
    <d v="2026-09-03T00:00:00"/>
    <n v="1"/>
    <n v="2"/>
    <n v="29.2"/>
    <n v="1752"/>
    <x v="0"/>
    <x v="1"/>
    <s v="NORMAL"/>
    <x v="2"/>
  </r>
  <r>
    <n v="899"/>
    <d v="2026-09-03T00:00:00"/>
    <n v="2"/>
    <n v="1"/>
    <n v="19.899999999999999"/>
    <n v="1791"/>
    <x v="1"/>
    <x v="0"/>
    <s v="NORMAL"/>
    <x v="2"/>
  </r>
  <r>
    <n v="900"/>
    <d v="2026-09-03T00:00:00"/>
    <n v="2"/>
    <n v="2"/>
    <n v="20.7"/>
    <n v="1863"/>
    <x v="1"/>
    <x v="1"/>
    <s v="NORMAL"/>
    <x v="2"/>
  </r>
  <r>
    <n v="901"/>
    <d v="2026-09-03T00:00:00"/>
    <n v="3"/>
    <n v="1"/>
    <n v="16.3"/>
    <n v="1304"/>
    <x v="2"/>
    <x v="0"/>
    <s v="NORMAL"/>
    <x v="2"/>
  </r>
  <r>
    <n v="902"/>
    <d v="2026-09-03T00:00:00"/>
    <n v="3"/>
    <n v="2"/>
    <n v="12.5"/>
    <n v="1000"/>
    <x v="2"/>
    <x v="1"/>
    <s v="NORMAL"/>
    <x v="2"/>
  </r>
  <r>
    <n v="903"/>
    <d v="2026-09-03T00:00:00"/>
    <n v="4"/>
    <n v="1"/>
    <n v="38.700000000000003"/>
    <n v="968"/>
    <x v="3"/>
    <x v="0"/>
    <s v="NORMAL"/>
    <x v="2"/>
  </r>
  <r>
    <n v="904"/>
    <d v="2026-09-03T00:00:00"/>
    <n v="4"/>
    <n v="2"/>
    <n v="25.9"/>
    <n v="648"/>
    <x v="3"/>
    <x v="1"/>
    <s v="NORMAL"/>
    <x v="2"/>
  </r>
  <r>
    <n v="905"/>
    <d v="2026-09-03T00:00:00"/>
    <n v="5"/>
    <n v="1"/>
    <n v="26.9"/>
    <n v="2959"/>
    <x v="4"/>
    <x v="0"/>
    <s v="NORMAL"/>
    <x v="2"/>
  </r>
  <r>
    <n v="906"/>
    <d v="2026-09-03T00:00:00"/>
    <n v="5"/>
    <n v="2"/>
    <n v="31.6"/>
    <n v="3476"/>
    <x v="4"/>
    <x v="1"/>
    <s v="NORMAL"/>
    <x v="2"/>
  </r>
  <r>
    <n v="907"/>
    <d v="2026-09-03T00:00:00"/>
    <n v="6"/>
    <n v="1"/>
    <n v="1.7"/>
    <n v="374"/>
    <x v="5"/>
    <x v="0"/>
    <s v="NORMAL"/>
    <x v="2"/>
  </r>
  <r>
    <n v="908"/>
    <d v="2026-09-03T00:00:00"/>
    <n v="6"/>
    <n v="2"/>
    <n v="1.3"/>
    <n v="286"/>
    <x v="5"/>
    <x v="1"/>
    <s v="NORMAL"/>
    <x v="2"/>
  </r>
  <r>
    <n v="909"/>
    <d v="2026-09-03T00:00:00"/>
    <n v="7"/>
    <n v="1"/>
    <n v="12.6"/>
    <n v="1197"/>
    <x v="6"/>
    <x v="0"/>
    <s v="NORMAL"/>
    <x v="2"/>
  </r>
  <r>
    <n v="910"/>
    <d v="2026-09-03T00:00:00"/>
    <n v="7"/>
    <n v="2"/>
    <n v="9.6999999999999993"/>
    <n v="921"/>
    <x v="6"/>
    <x v="1"/>
    <s v="NORMAL"/>
    <x v="2"/>
  </r>
  <r>
    <n v="911"/>
    <d v="2026-09-04T00:00:00"/>
    <n v="1"/>
    <n v="1"/>
    <n v="18.100000000000001"/>
    <n v="1086"/>
    <x v="0"/>
    <x v="0"/>
    <s v="NORMAL"/>
    <x v="2"/>
  </r>
  <r>
    <n v="912"/>
    <d v="2026-09-04T00:00:00"/>
    <n v="1"/>
    <n v="2"/>
    <n v="29.1"/>
    <n v="1746"/>
    <x v="0"/>
    <x v="1"/>
    <s v="NORMAL"/>
    <x v="2"/>
  </r>
  <r>
    <n v="913"/>
    <d v="2026-09-04T00:00:00"/>
    <n v="2"/>
    <n v="1"/>
    <n v="23.9"/>
    <n v="2151"/>
    <x v="1"/>
    <x v="0"/>
    <s v="NORMAL"/>
    <x v="2"/>
  </r>
  <r>
    <n v="914"/>
    <d v="2026-09-04T00:00:00"/>
    <n v="2"/>
    <n v="2"/>
    <n v="31.6"/>
    <n v="2844"/>
    <x v="1"/>
    <x v="1"/>
    <s v="NORMAL"/>
    <x v="2"/>
  </r>
  <r>
    <n v="915"/>
    <d v="2026-09-04T00:00:00"/>
    <n v="3"/>
    <n v="1"/>
    <n v="12"/>
    <n v="960"/>
    <x v="2"/>
    <x v="0"/>
    <s v="NORMAL"/>
    <x v="2"/>
  </r>
  <r>
    <n v="916"/>
    <d v="2026-09-04T00:00:00"/>
    <n v="3"/>
    <n v="2"/>
    <n v="11.1"/>
    <n v="888"/>
    <x v="2"/>
    <x v="1"/>
    <s v="NORMAL"/>
    <x v="2"/>
  </r>
  <r>
    <n v="917"/>
    <d v="2026-09-04T00:00:00"/>
    <n v="4"/>
    <n v="1"/>
    <n v="24.5"/>
    <n v="612"/>
    <x v="3"/>
    <x v="0"/>
    <s v="NORMAL"/>
    <x v="2"/>
  </r>
  <r>
    <n v="918"/>
    <d v="2026-09-04T00:00:00"/>
    <n v="4"/>
    <n v="2"/>
    <n v="21.3"/>
    <n v="532"/>
    <x v="3"/>
    <x v="1"/>
    <s v="NORMAL"/>
    <x v="2"/>
  </r>
  <r>
    <n v="919"/>
    <d v="2026-09-04T00:00:00"/>
    <n v="5"/>
    <n v="1"/>
    <n v="24.1"/>
    <n v="2651"/>
    <x v="4"/>
    <x v="0"/>
    <s v="NORMAL"/>
    <x v="2"/>
  </r>
  <r>
    <n v="920"/>
    <d v="2026-09-04T00:00:00"/>
    <n v="5"/>
    <n v="2"/>
    <n v="18"/>
    <n v="1980"/>
    <x v="4"/>
    <x v="1"/>
    <s v="NORMAL"/>
    <x v="2"/>
  </r>
  <r>
    <n v="921"/>
    <d v="2026-09-04T00:00:00"/>
    <n v="6"/>
    <n v="1"/>
    <n v="1.6"/>
    <n v="352"/>
    <x v="5"/>
    <x v="0"/>
    <s v="NORMAL"/>
    <x v="2"/>
  </r>
  <r>
    <n v="922"/>
    <d v="2026-09-04T00:00:00"/>
    <n v="6"/>
    <n v="2"/>
    <n v="1.2"/>
    <n v="264"/>
    <x v="5"/>
    <x v="1"/>
    <s v="NORMAL"/>
    <x v="2"/>
  </r>
  <r>
    <n v="923"/>
    <d v="2026-09-04T00:00:00"/>
    <n v="7"/>
    <n v="1"/>
    <n v="7"/>
    <n v="665"/>
    <x v="6"/>
    <x v="0"/>
    <s v="NORMAL"/>
    <x v="2"/>
  </r>
  <r>
    <n v="924"/>
    <d v="2026-09-04T00:00:00"/>
    <n v="7"/>
    <n v="2"/>
    <n v="6.2"/>
    <n v="589"/>
    <x v="6"/>
    <x v="1"/>
    <s v="NORMAL"/>
    <x v="2"/>
  </r>
  <r>
    <n v="925"/>
    <d v="2026-09-05T00:00:00"/>
    <n v="1"/>
    <n v="1"/>
    <n v="35.799999999999997"/>
    <n v="2148"/>
    <x v="0"/>
    <x v="0"/>
    <s v="NORMAL"/>
    <x v="2"/>
  </r>
  <r>
    <n v="926"/>
    <d v="2026-09-05T00:00:00"/>
    <n v="1"/>
    <n v="2"/>
    <n v="31.1"/>
    <n v="1866"/>
    <x v="0"/>
    <x v="1"/>
    <s v="NORMAL"/>
    <x v="2"/>
  </r>
  <r>
    <n v="927"/>
    <d v="2026-09-05T00:00:00"/>
    <n v="2"/>
    <n v="1"/>
    <n v="24.5"/>
    <n v="2205"/>
    <x v="1"/>
    <x v="0"/>
    <s v="NORMAL"/>
    <x v="2"/>
  </r>
  <r>
    <n v="928"/>
    <d v="2026-09-05T00:00:00"/>
    <n v="2"/>
    <n v="2"/>
    <n v="32"/>
    <n v="2880"/>
    <x v="1"/>
    <x v="1"/>
    <s v="NORMAL"/>
    <x v="2"/>
  </r>
  <r>
    <n v="929"/>
    <d v="2026-09-05T00:00:00"/>
    <n v="3"/>
    <n v="1"/>
    <n v="17.3"/>
    <n v="1384"/>
    <x v="2"/>
    <x v="0"/>
    <s v="NORMAL"/>
    <x v="2"/>
  </r>
  <r>
    <n v="930"/>
    <d v="2026-09-05T00:00:00"/>
    <n v="3"/>
    <n v="2"/>
    <n v="14.4"/>
    <n v="1152"/>
    <x v="2"/>
    <x v="1"/>
    <s v="NORMAL"/>
    <x v="2"/>
  </r>
  <r>
    <n v="931"/>
    <d v="2026-09-05T00:00:00"/>
    <n v="4"/>
    <n v="1"/>
    <n v="34"/>
    <n v="850"/>
    <x v="3"/>
    <x v="0"/>
    <s v="NORMAL"/>
    <x v="2"/>
  </r>
  <r>
    <n v="932"/>
    <d v="2026-09-05T00:00:00"/>
    <n v="4"/>
    <n v="2"/>
    <n v="44.5"/>
    <n v="1112"/>
    <x v="3"/>
    <x v="1"/>
    <s v="NORMAL"/>
    <x v="2"/>
  </r>
  <r>
    <n v="933"/>
    <d v="2026-09-05T00:00:00"/>
    <n v="5"/>
    <n v="1"/>
    <n v="36.700000000000003"/>
    <n v="4037"/>
    <x v="4"/>
    <x v="0"/>
    <s v="NORMAL"/>
    <x v="2"/>
  </r>
  <r>
    <n v="934"/>
    <d v="2026-09-05T00:00:00"/>
    <n v="5"/>
    <n v="2"/>
    <n v="34.5"/>
    <n v="3795"/>
    <x v="4"/>
    <x v="1"/>
    <s v="NORMAL"/>
    <x v="2"/>
  </r>
  <r>
    <n v="935"/>
    <d v="2026-09-05T00:00:00"/>
    <n v="6"/>
    <n v="1"/>
    <n v="1.2"/>
    <n v="264"/>
    <x v="5"/>
    <x v="0"/>
    <s v="NORMAL"/>
    <x v="2"/>
  </r>
  <r>
    <n v="936"/>
    <d v="2026-09-05T00:00:00"/>
    <n v="6"/>
    <n v="2"/>
    <n v="2"/>
    <n v="440"/>
    <x v="5"/>
    <x v="1"/>
    <s v="NORMAL"/>
    <x v="2"/>
  </r>
  <r>
    <n v="937"/>
    <d v="2026-09-05T00:00:00"/>
    <n v="7"/>
    <n v="1"/>
    <n v="7.1"/>
    <n v="674"/>
    <x v="6"/>
    <x v="0"/>
    <s v="NORMAL"/>
    <x v="2"/>
  </r>
  <r>
    <n v="938"/>
    <d v="2026-09-05T00:00:00"/>
    <n v="7"/>
    <n v="2"/>
    <n v="10.3"/>
    <n v="979"/>
    <x v="6"/>
    <x v="1"/>
    <s v="NORMAL"/>
    <x v="2"/>
  </r>
  <r>
    <n v="939"/>
    <d v="2026-09-06T00:00:00"/>
    <n v="1"/>
    <n v="1"/>
    <n v="43"/>
    <n v="2580"/>
    <x v="0"/>
    <x v="0"/>
    <s v="NORMAL"/>
    <x v="2"/>
  </r>
  <r>
    <n v="940"/>
    <d v="2026-09-06T00:00:00"/>
    <n v="1"/>
    <n v="2"/>
    <n v="31.1"/>
    <n v="1866"/>
    <x v="0"/>
    <x v="1"/>
    <s v="NORMAL"/>
    <x v="2"/>
  </r>
  <r>
    <n v="941"/>
    <d v="2026-09-06T00:00:00"/>
    <n v="2"/>
    <n v="1"/>
    <n v="35.9"/>
    <n v="3231"/>
    <x v="1"/>
    <x v="0"/>
    <s v="NORMAL"/>
    <x v="2"/>
  </r>
  <r>
    <n v="942"/>
    <d v="2026-09-06T00:00:00"/>
    <n v="2"/>
    <n v="2"/>
    <n v="23.3"/>
    <n v="2097"/>
    <x v="1"/>
    <x v="1"/>
    <s v="NORMAL"/>
    <x v="2"/>
  </r>
  <r>
    <n v="943"/>
    <d v="2026-09-06T00:00:00"/>
    <n v="3"/>
    <n v="1"/>
    <n v="19.5"/>
    <n v="1560"/>
    <x v="2"/>
    <x v="0"/>
    <s v="NORMAL"/>
    <x v="2"/>
  </r>
  <r>
    <n v="944"/>
    <d v="2026-09-06T00:00:00"/>
    <n v="3"/>
    <n v="2"/>
    <n v="10.9"/>
    <n v="872"/>
    <x v="2"/>
    <x v="1"/>
    <s v="NORMAL"/>
    <x v="2"/>
  </r>
  <r>
    <n v="945"/>
    <d v="2026-09-06T00:00:00"/>
    <n v="4"/>
    <n v="1"/>
    <n v="35.5"/>
    <n v="888"/>
    <x v="3"/>
    <x v="0"/>
    <s v="NORMAL"/>
    <x v="2"/>
  </r>
  <r>
    <n v="946"/>
    <d v="2026-09-06T00:00:00"/>
    <n v="4"/>
    <n v="2"/>
    <n v="36.6"/>
    <n v="915"/>
    <x v="3"/>
    <x v="1"/>
    <s v="NORMAL"/>
    <x v="2"/>
  </r>
  <r>
    <n v="947"/>
    <d v="2026-09-06T00:00:00"/>
    <n v="5"/>
    <n v="1"/>
    <n v="38.799999999999997"/>
    <n v="4268"/>
    <x v="4"/>
    <x v="0"/>
    <s v="NORMAL"/>
    <x v="2"/>
  </r>
  <r>
    <n v="948"/>
    <d v="2026-09-06T00:00:00"/>
    <n v="5"/>
    <n v="2"/>
    <n v="30.7"/>
    <n v="3377"/>
    <x v="4"/>
    <x v="1"/>
    <s v="NORMAL"/>
    <x v="2"/>
  </r>
  <r>
    <n v="949"/>
    <d v="2026-09-06T00:00:00"/>
    <n v="6"/>
    <n v="1"/>
    <n v="3.5"/>
    <n v="770"/>
    <x v="5"/>
    <x v="0"/>
    <s v="NORMAL"/>
    <x v="2"/>
  </r>
  <r>
    <n v="950"/>
    <d v="2026-09-06T00:00:00"/>
    <n v="6"/>
    <n v="2"/>
    <n v="2.1"/>
    <n v="462"/>
    <x v="5"/>
    <x v="1"/>
    <s v="NORMAL"/>
    <x v="2"/>
  </r>
  <r>
    <n v="951"/>
    <d v="2026-09-06T00:00:00"/>
    <n v="7"/>
    <n v="1"/>
    <n v="11.4"/>
    <n v="1083"/>
    <x v="6"/>
    <x v="0"/>
    <s v="NORMAL"/>
    <x v="2"/>
  </r>
  <r>
    <n v="952"/>
    <d v="2026-09-06T00:00:00"/>
    <n v="7"/>
    <n v="2"/>
    <n v="5"/>
    <n v="475"/>
    <x v="6"/>
    <x v="1"/>
    <s v="NORMAL"/>
    <x v="2"/>
  </r>
  <r>
    <n v="953"/>
    <d v="2026-09-07T00:00:00"/>
    <n v="1"/>
    <n v="1"/>
    <n v="43.3"/>
    <n v="2598"/>
    <x v="0"/>
    <x v="0"/>
    <s v="NORMAL"/>
    <x v="2"/>
  </r>
  <r>
    <n v="954"/>
    <d v="2026-09-07T00:00:00"/>
    <n v="1"/>
    <n v="2"/>
    <n v="26.7"/>
    <n v="1602"/>
    <x v="0"/>
    <x v="1"/>
    <s v="NORMAL"/>
    <x v="2"/>
  </r>
  <r>
    <n v="955"/>
    <d v="2026-09-07T00:00:00"/>
    <n v="2"/>
    <n v="1"/>
    <n v="19.899999999999999"/>
    <n v="1791"/>
    <x v="1"/>
    <x v="0"/>
    <s v="NORMAL"/>
    <x v="2"/>
  </r>
  <r>
    <n v="956"/>
    <d v="2026-09-07T00:00:00"/>
    <n v="2"/>
    <n v="2"/>
    <n v="29.6"/>
    <n v="2664"/>
    <x v="1"/>
    <x v="1"/>
    <s v="NORMAL"/>
    <x v="2"/>
  </r>
  <r>
    <n v="957"/>
    <d v="2026-09-07T00:00:00"/>
    <n v="3"/>
    <n v="1"/>
    <n v="17.5"/>
    <n v="1400"/>
    <x v="2"/>
    <x v="0"/>
    <s v="NORMAL"/>
    <x v="2"/>
  </r>
  <r>
    <n v="958"/>
    <d v="2026-09-07T00:00:00"/>
    <n v="3"/>
    <n v="2"/>
    <n v="12.9"/>
    <n v="1032"/>
    <x v="2"/>
    <x v="1"/>
    <s v="NORMAL"/>
    <x v="2"/>
  </r>
  <r>
    <n v="959"/>
    <d v="2026-09-07T00:00:00"/>
    <n v="4"/>
    <n v="1"/>
    <n v="21.4"/>
    <n v="535"/>
    <x v="3"/>
    <x v="0"/>
    <s v="NORMAL"/>
    <x v="2"/>
  </r>
  <r>
    <n v="960"/>
    <d v="2026-09-07T00:00:00"/>
    <n v="4"/>
    <n v="2"/>
    <n v="29.3"/>
    <n v="732"/>
    <x v="3"/>
    <x v="1"/>
    <s v="NORMAL"/>
    <x v="2"/>
  </r>
  <r>
    <n v="961"/>
    <d v="2026-09-07T00:00:00"/>
    <n v="5"/>
    <n v="1"/>
    <n v="24.5"/>
    <n v="2695"/>
    <x v="4"/>
    <x v="0"/>
    <s v="NORMAL"/>
    <x v="2"/>
  </r>
  <r>
    <n v="962"/>
    <d v="2026-09-07T00:00:00"/>
    <n v="5"/>
    <n v="2"/>
    <n v="19.3"/>
    <n v="2123"/>
    <x v="4"/>
    <x v="1"/>
    <s v="NORMAL"/>
    <x v="2"/>
  </r>
  <r>
    <n v="963"/>
    <d v="2026-09-07T00:00:00"/>
    <n v="6"/>
    <n v="1"/>
    <n v="2.4"/>
    <n v="528"/>
    <x v="5"/>
    <x v="0"/>
    <s v="NORMAL"/>
    <x v="2"/>
  </r>
  <r>
    <n v="964"/>
    <d v="2026-09-07T00:00:00"/>
    <n v="6"/>
    <n v="2"/>
    <n v="1"/>
    <n v="220"/>
    <x v="5"/>
    <x v="1"/>
    <s v="NORMAL"/>
    <x v="2"/>
  </r>
  <r>
    <n v="965"/>
    <d v="2026-09-07T00:00:00"/>
    <n v="7"/>
    <n v="1"/>
    <n v="11.1"/>
    <n v="1054"/>
    <x v="6"/>
    <x v="0"/>
    <s v="NORMAL"/>
    <x v="2"/>
  </r>
  <r>
    <n v="966"/>
    <d v="2026-09-07T00:00:00"/>
    <n v="7"/>
    <n v="2"/>
    <n v="9.8000000000000007"/>
    <n v="931"/>
    <x v="6"/>
    <x v="1"/>
    <s v="NORMAL"/>
    <x v="2"/>
  </r>
  <r>
    <n v="967"/>
    <d v="2026-09-08T00:00:00"/>
    <n v="1"/>
    <n v="1"/>
    <n v="45.1"/>
    <n v="2706"/>
    <x v="0"/>
    <x v="0"/>
    <s v="NORMAL"/>
    <x v="2"/>
  </r>
  <r>
    <n v="968"/>
    <d v="2026-09-08T00:00:00"/>
    <n v="1"/>
    <n v="2"/>
    <n v="30.7"/>
    <n v="1842"/>
    <x v="0"/>
    <x v="1"/>
    <s v="NORMAL"/>
    <x v="2"/>
  </r>
  <r>
    <n v="969"/>
    <d v="2026-09-08T00:00:00"/>
    <n v="2"/>
    <n v="1"/>
    <n v="15.3"/>
    <n v="1377"/>
    <x v="1"/>
    <x v="0"/>
    <s v="NORMAL"/>
    <x v="2"/>
  </r>
  <r>
    <n v="970"/>
    <d v="2026-09-08T00:00:00"/>
    <n v="2"/>
    <n v="2"/>
    <n v="19.5"/>
    <n v="1755"/>
    <x v="1"/>
    <x v="1"/>
    <s v="NORMAL"/>
    <x v="2"/>
  </r>
  <r>
    <n v="971"/>
    <d v="2026-09-08T00:00:00"/>
    <n v="3"/>
    <n v="1"/>
    <n v="14.2"/>
    <n v="1136"/>
    <x v="2"/>
    <x v="0"/>
    <s v="NORMAL"/>
    <x v="2"/>
  </r>
  <r>
    <n v="972"/>
    <d v="2026-09-08T00:00:00"/>
    <n v="3"/>
    <n v="2"/>
    <n v="13.5"/>
    <n v="1080"/>
    <x v="2"/>
    <x v="1"/>
    <s v="NORMAL"/>
    <x v="2"/>
  </r>
  <r>
    <n v="973"/>
    <d v="2026-09-08T00:00:00"/>
    <n v="4"/>
    <n v="1"/>
    <n v="35.9"/>
    <n v="898"/>
    <x v="3"/>
    <x v="0"/>
    <s v="NORMAL"/>
    <x v="2"/>
  </r>
  <r>
    <n v="974"/>
    <d v="2026-09-08T00:00:00"/>
    <n v="4"/>
    <n v="2"/>
    <n v="16.399999999999999"/>
    <n v="410"/>
    <x v="3"/>
    <x v="1"/>
    <s v="NORMAL"/>
    <x v="2"/>
  </r>
  <r>
    <n v="975"/>
    <d v="2026-09-08T00:00:00"/>
    <n v="5"/>
    <n v="1"/>
    <n v="26.2"/>
    <n v="2882"/>
    <x v="4"/>
    <x v="0"/>
    <s v="NORMAL"/>
    <x v="2"/>
  </r>
  <r>
    <n v="976"/>
    <d v="2026-09-08T00:00:00"/>
    <n v="5"/>
    <n v="2"/>
    <n v="30.1"/>
    <n v="3311"/>
    <x v="4"/>
    <x v="1"/>
    <s v="NORMAL"/>
    <x v="2"/>
  </r>
  <r>
    <n v="977"/>
    <d v="2026-09-08T00:00:00"/>
    <n v="6"/>
    <n v="1"/>
    <n v="2.6"/>
    <n v="572"/>
    <x v="5"/>
    <x v="0"/>
    <s v="NORMAL"/>
    <x v="2"/>
  </r>
  <r>
    <n v="978"/>
    <d v="2026-09-08T00:00:00"/>
    <n v="6"/>
    <n v="2"/>
    <n v="2.5"/>
    <n v="550"/>
    <x v="5"/>
    <x v="1"/>
    <s v="NORMAL"/>
    <x v="2"/>
  </r>
  <r>
    <n v="979"/>
    <d v="2026-09-08T00:00:00"/>
    <n v="7"/>
    <n v="1"/>
    <n v="9.1999999999999993"/>
    <n v="874"/>
    <x v="6"/>
    <x v="0"/>
    <s v="NORMAL"/>
    <x v="2"/>
  </r>
  <r>
    <n v="980"/>
    <d v="2026-09-08T00:00:00"/>
    <n v="7"/>
    <n v="2"/>
    <n v="11"/>
    <n v="1045"/>
    <x v="6"/>
    <x v="1"/>
    <s v="NORMAL"/>
    <x v="2"/>
  </r>
  <r>
    <n v="981"/>
    <d v="2026-09-09T00:00:00"/>
    <n v="1"/>
    <n v="1"/>
    <n v="43"/>
    <n v="2580"/>
    <x v="0"/>
    <x v="0"/>
    <s v="NORMAL"/>
    <x v="2"/>
  </r>
  <r>
    <n v="982"/>
    <d v="2026-09-09T00:00:00"/>
    <n v="1"/>
    <n v="2"/>
    <n v="35.700000000000003"/>
    <n v="2142"/>
    <x v="0"/>
    <x v="1"/>
    <s v="NORMAL"/>
    <x v="2"/>
  </r>
  <r>
    <n v="983"/>
    <d v="2026-09-09T00:00:00"/>
    <n v="2"/>
    <n v="1"/>
    <n v="29.8"/>
    <n v="2682"/>
    <x v="1"/>
    <x v="0"/>
    <s v="NORMAL"/>
    <x v="2"/>
  </r>
  <r>
    <n v="984"/>
    <d v="2026-09-09T00:00:00"/>
    <n v="2"/>
    <n v="2"/>
    <n v="27.3"/>
    <n v="2457"/>
    <x v="1"/>
    <x v="1"/>
    <s v="NORMAL"/>
    <x v="2"/>
  </r>
  <r>
    <n v="985"/>
    <d v="2026-09-09T00:00:00"/>
    <n v="3"/>
    <n v="1"/>
    <n v="11.8"/>
    <n v="944"/>
    <x v="2"/>
    <x v="0"/>
    <s v="NORMAL"/>
    <x v="2"/>
  </r>
  <r>
    <n v="986"/>
    <d v="2026-09-09T00:00:00"/>
    <n v="3"/>
    <n v="2"/>
    <n v="9"/>
    <n v="720"/>
    <x v="2"/>
    <x v="1"/>
    <s v="NORMAL"/>
    <x v="2"/>
  </r>
  <r>
    <n v="987"/>
    <d v="2026-09-09T00:00:00"/>
    <n v="4"/>
    <n v="1"/>
    <n v="35.9"/>
    <n v="898"/>
    <x v="3"/>
    <x v="0"/>
    <s v="NORMAL"/>
    <x v="2"/>
  </r>
  <r>
    <n v="988"/>
    <d v="2026-09-09T00:00:00"/>
    <n v="4"/>
    <n v="2"/>
    <n v="25.1"/>
    <n v="628"/>
    <x v="3"/>
    <x v="1"/>
    <s v="NORMAL"/>
    <x v="2"/>
  </r>
  <r>
    <n v="989"/>
    <d v="2026-09-09T00:00:00"/>
    <n v="5"/>
    <n v="1"/>
    <n v="27.8"/>
    <n v="3058"/>
    <x v="4"/>
    <x v="0"/>
    <s v="NORMAL"/>
    <x v="2"/>
  </r>
  <r>
    <n v="990"/>
    <d v="2026-09-09T00:00:00"/>
    <n v="5"/>
    <n v="2"/>
    <n v="22.3"/>
    <n v="2453"/>
    <x v="4"/>
    <x v="1"/>
    <s v="NORMAL"/>
    <x v="2"/>
  </r>
  <r>
    <n v="991"/>
    <d v="2026-09-09T00:00:00"/>
    <n v="6"/>
    <n v="1"/>
    <n v="1.8"/>
    <n v="396"/>
    <x v="5"/>
    <x v="0"/>
    <s v="NORMAL"/>
    <x v="2"/>
  </r>
  <r>
    <n v="992"/>
    <d v="2026-09-09T00:00:00"/>
    <n v="6"/>
    <n v="2"/>
    <n v="1.9"/>
    <n v="418"/>
    <x v="5"/>
    <x v="1"/>
    <s v="NORMAL"/>
    <x v="2"/>
  </r>
  <r>
    <n v="993"/>
    <d v="2026-09-09T00:00:00"/>
    <n v="7"/>
    <n v="1"/>
    <n v="8"/>
    <n v="760"/>
    <x v="6"/>
    <x v="0"/>
    <s v="NORMAL"/>
    <x v="2"/>
  </r>
  <r>
    <n v="994"/>
    <d v="2026-09-09T00:00:00"/>
    <n v="7"/>
    <n v="2"/>
    <n v="9.1"/>
    <n v="864"/>
    <x v="6"/>
    <x v="1"/>
    <s v="NORMAL"/>
    <x v="2"/>
  </r>
  <r>
    <n v="995"/>
    <d v="2026-09-10T00:00:00"/>
    <n v="1"/>
    <n v="1"/>
    <n v="33.6"/>
    <n v="2016"/>
    <x v="0"/>
    <x v="0"/>
    <s v="NORMAL"/>
    <x v="2"/>
  </r>
  <r>
    <n v="996"/>
    <d v="2026-09-10T00:00:00"/>
    <n v="1"/>
    <n v="2"/>
    <n v="28.4"/>
    <n v="1704"/>
    <x v="0"/>
    <x v="1"/>
    <s v="NORMAL"/>
    <x v="2"/>
  </r>
  <r>
    <n v="997"/>
    <d v="2026-09-10T00:00:00"/>
    <n v="2"/>
    <n v="1"/>
    <n v="22.1"/>
    <n v="1989"/>
    <x v="1"/>
    <x v="0"/>
    <s v="NORMAL"/>
    <x v="2"/>
  </r>
  <r>
    <n v="998"/>
    <d v="2026-09-10T00:00:00"/>
    <n v="2"/>
    <n v="2"/>
    <n v="27.1"/>
    <n v="2439"/>
    <x v="1"/>
    <x v="1"/>
    <s v="NORMAL"/>
    <x v="2"/>
  </r>
  <r>
    <n v="999"/>
    <d v="2026-09-10T00:00:00"/>
    <n v="3"/>
    <n v="1"/>
    <n v="19.2"/>
    <n v="1536"/>
    <x v="2"/>
    <x v="0"/>
    <s v="NORMAL"/>
    <x v="2"/>
  </r>
  <r>
    <n v="1000"/>
    <d v="2026-09-10T00:00:00"/>
    <n v="3"/>
    <n v="2"/>
    <n v="11.1"/>
    <n v="888"/>
    <x v="2"/>
    <x v="1"/>
    <s v="NORMAL"/>
    <x v="2"/>
  </r>
  <r>
    <n v="1001"/>
    <d v="2026-09-10T00:00:00"/>
    <n v="4"/>
    <n v="1"/>
    <n v="37.4"/>
    <n v="935"/>
    <x v="3"/>
    <x v="0"/>
    <s v="NORMAL"/>
    <x v="2"/>
  </r>
  <r>
    <n v="1002"/>
    <d v="2026-09-10T00:00:00"/>
    <n v="4"/>
    <n v="2"/>
    <n v="31.8"/>
    <n v="795"/>
    <x v="3"/>
    <x v="1"/>
    <s v="NORMAL"/>
    <x v="2"/>
  </r>
  <r>
    <n v="1003"/>
    <d v="2026-09-10T00:00:00"/>
    <n v="5"/>
    <n v="1"/>
    <n v="13.1"/>
    <n v="1441"/>
    <x v="4"/>
    <x v="0"/>
    <s v="NORMAL"/>
    <x v="2"/>
  </r>
  <r>
    <n v="1004"/>
    <d v="2026-09-10T00:00:00"/>
    <n v="5"/>
    <n v="2"/>
    <n v="21.4"/>
    <n v="2354"/>
    <x v="4"/>
    <x v="1"/>
    <s v="NORMAL"/>
    <x v="2"/>
  </r>
  <r>
    <n v="1005"/>
    <d v="2026-09-10T00:00:00"/>
    <n v="6"/>
    <n v="1"/>
    <n v="1.7"/>
    <n v="374"/>
    <x v="5"/>
    <x v="0"/>
    <s v="NORMAL"/>
    <x v="2"/>
  </r>
  <r>
    <n v="1006"/>
    <d v="2026-09-10T00:00:00"/>
    <n v="6"/>
    <n v="2"/>
    <n v="2.1"/>
    <n v="462"/>
    <x v="5"/>
    <x v="1"/>
    <s v="NORMAL"/>
    <x v="2"/>
  </r>
  <r>
    <n v="1007"/>
    <d v="2026-09-10T00:00:00"/>
    <n v="7"/>
    <n v="1"/>
    <n v="10.4"/>
    <n v="988"/>
    <x v="6"/>
    <x v="0"/>
    <s v="NORMAL"/>
    <x v="2"/>
  </r>
  <r>
    <n v="1008"/>
    <d v="2026-09-10T00:00:00"/>
    <n v="7"/>
    <n v="2"/>
    <n v="9.9"/>
    <n v="940"/>
    <x v="6"/>
    <x v="1"/>
    <s v="NORMAL"/>
    <x v="2"/>
  </r>
  <r>
    <n v="1009"/>
    <d v="2026-09-11T00:00:00"/>
    <n v="1"/>
    <n v="1"/>
    <n v="36.1"/>
    <n v="2166"/>
    <x v="0"/>
    <x v="0"/>
    <s v="NORMAL"/>
    <x v="2"/>
  </r>
  <r>
    <n v="1010"/>
    <d v="2026-09-11T00:00:00"/>
    <n v="1"/>
    <n v="2"/>
    <n v="23.6"/>
    <n v="1416"/>
    <x v="0"/>
    <x v="1"/>
    <s v="NORMAL"/>
    <x v="2"/>
  </r>
  <r>
    <n v="1011"/>
    <d v="2026-09-11T00:00:00"/>
    <n v="2"/>
    <n v="1"/>
    <n v="22.1"/>
    <n v="1989"/>
    <x v="1"/>
    <x v="0"/>
    <s v="NORMAL"/>
    <x v="2"/>
  </r>
  <r>
    <n v="1012"/>
    <d v="2026-09-11T00:00:00"/>
    <n v="2"/>
    <n v="2"/>
    <n v="17.7"/>
    <n v="1593"/>
    <x v="1"/>
    <x v="1"/>
    <s v="NORMAL"/>
    <x v="2"/>
  </r>
  <r>
    <n v="1013"/>
    <d v="2026-09-11T00:00:00"/>
    <n v="3"/>
    <n v="1"/>
    <n v="13.5"/>
    <n v="1080"/>
    <x v="2"/>
    <x v="0"/>
    <s v="NORMAL"/>
    <x v="2"/>
  </r>
  <r>
    <n v="1014"/>
    <d v="2026-09-11T00:00:00"/>
    <n v="3"/>
    <n v="2"/>
    <n v="12.3"/>
    <n v="984"/>
    <x v="2"/>
    <x v="1"/>
    <s v="NORMAL"/>
    <x v="2"/>
  </r>
  <r>
    <n v="1015"/>
    <d v="2026-09-11T00:00:00"/>
    <n v="4"/>
    <n v="1"/>
    <n v="31"/>
    <n v="775"/>
    <x v="3"/>
    <x v="0"/>
    <s v="NORMAL"/>
    <x v="2"/>
  </r>
  <r>
    <n v="1016"/>
    <d v="2026-09-11T00:00:00"/>
    <n v="4"/>
    <n v="2"/>
    <n v="23.1"/>
    <n v="578"/>
    <x v="3"/>
    <x v="1"/>
    <s v="NORMAL"/>
    <x v="2"/>
  </r>
  <r>
    <n v="1017"/>
    <d v="2026-09-11T00:00:00"/>
    <n v="5"/>
    <n v="1"/>
    <n v="33.1"/>
    <n v="3641"/>
    <x v="4"/>
    <x v="0"/>
    <s v="NORMAL"/>
    <x v="2"/>
  </r>
  <r>
    <n v="1018"/>
    <d v="2026-09-11T00:00:00"/>
    <n v="5"/>
    <n v="2"/>
    <n v="29.8"/>
    <n v="3278"/>
    <x v="4"/>
    <x v="1"/>
    <s v="NORMAL"/>
    <x v="2"/>
  </r>
  <r>
    <n v="1019"/>
    <d v="2026-09-11T00:00:00"/>
    <n v="6"/>
    <n v="1"/>
    <n v="2.6"/>
    <n v="572"/>
    <x v="5"/>
    <x v="0"/>
    <s v="NORMAL"/>
    <x v="2"/>
  </r>
  <r>
    <n v="1020"/>
    <d v="2026-09-11T00:00:00"/>
    <n v="6"/>
    <n v="2"/>
    <n v="2.1"/>
    <n v="462"/>
    <x v="5"/>
    <x v="1"/>
    <s v="NORMAL"/>
    <x v="2"/>
  </r>
  <r>
    <n v="1021"/>
    <d v="2026-09-11T00:00:00"/>
    <n v="7"/>
    <n v="1"/>
    <n v="10.4"/>
    <n v="988"/>
    <x v="6"/>
    <x v="0"/>
    <s v="NORMAL"/>
    <x v="2"/>
  </r>
  <r>
    <n v="1022"/>
    <d v="2026-09-11T00:00:00"/>
    <n v="7"/>
    <n v="2"/>
    <n v="10.199999999999999"/>
    <n v="969"/>
    <x v="6"/>
    <x v="1"/>
    <s v="NORMAL"/>
    <x v="2"/>
  </r>
  <r>
    <n v="1023"/>
    <d v="2026-09-12T00:00:00"/>
    <n v="1"/>
    <n v="1"/>
    <n v="44.9"/>
    <n v="2694"/>
    <x v="0"/>
    <x v="0"/>
    <s v="NORMAL"/>
    <x v="2"/>
  </r>
  <r>
    <n v="1024"/>
    <d v="2026-09-12T00:00:00"/>
    <n v="1"/>
    <n v="2"/>
    <n v="31.3"/>
    <n v="1878"/>
    <x v="0"/>
    <x v="1"/>
    <s v="NORMAL"/>
    <x v="2"/>
  </r>
  <r>
    <n v="1025"/>
    <d v="2026-09-12T00:00:00"/>
    <n v="2"/>
    <n v="1"/>
    <n v="40.9"/>
    <n v="3681"/>
    <x v="1"/>
    <x v="0"/>
    <s v="NORMAL"/>
    <x v="2"/>
  </r>
  <r>
    <n v="1026"/>
    <d v="2026-09-12T00:00:00"/>
    <n v="2"/>
    <n v="2"/>
    <n v="39.299999999999997"/>
    <n v="3537"/>
    <x v="1"/>
    <x v="1"/>
    <s v="NORMAL"/>
    <x v="2"/>
  </r>
  <r>
    <n v="1027"/>
    <d v="2026-09-12T00:00:00"/>
    <n v="3"/>
    <n v="1"/>
    <n v="24.4"/>
    <n v="1952"/>
    <x v="2"/>
    <x v="0"/>
    <s v="NORMAL"/>
    <x v="2"/>
  </r>
  <r>
    <n v="1028"/>
    <d v="2026-09-12T00:00:00"/>
    <n v="3"/>
    <n v="2"/>
    <n v="15.9"/>
    <n v="1272"/>
    <x v="2"/>
    <x v="1"/>
    <s v="NORMAL"/>
    <x v="2"/>
  </r>
  <r>
    <n v="1029"/>
    <d v="2026-09-12T00:00:00"/>
    <n v="4"/>
    <n v="1"/>
    <n v="39.9"/>
    <n v="998"/>
    <x v="3"/>
    <x v="0"/>
    <s v="NORMAL"/>
    <x v="2"/>
  </r>
  <r>
    <n v="1030"/>
    <d v="2026-09-12T00:00:00"/>
    <n v="4"/>
    <n v="2"/>
    <n v="36.6"/>
    <n v="915"/>
    <x v="3"/>
    <x v="1"/>
    <s v="NORMAL"/>
    <x v="2"/>
  </r>
  <r>
    <n v="1031"/>
    <d v="2026-09-12T00:00:00"/>
    <n v="5"/>
    <n v="1"/>
    <n v="35"/>
    <n v="3850"/>
    <x v="4"/>
    <x v="0"/>
    <s v="NORMAL"/>
    <x v="2"/>
  </r>
  <r>
    <n v="1032"/>
    <d v="2026-09-12T00:00:00"/>
    <n v="5"/>
    <n v="2"/>
    <n v="35.4"/>
    <n v="3894"/>
    <x v="4"/>
    <x v="1"/>
    <s v="NORMAL"/>
    <x v="2"/>
  </r>
  <r>
    <n v="1033"/>
    <d v="2026-09-12T00:00:00"/>
    <n v="6"/>
    <n v="1"/>
    <n v="2.4"/>
    <n v="528"/>
    <x v="5"/>
    <x v="0"/>
    <s v="NORMAL"/>
    <x v="2"/>
  </r>
  <r>
    <n v="1034"/>
    <d v="2026-09-12T00:00:00"/>
    <n v="6"/>
    <n v="2"/>
    <n v="2.2000000000000002"/>
    <n v="484"/>
    <x v="5"/>
    <x v="1"/>
    <s v="NORMAL"/>
    <x v="2"/>
  </r>
  <r>
    <n v="1035"/>
    <d v="2026-09-12T00:00:00"/>
    <n v="7"/>
    <n v="1"/>
    <n v="16.899999999999999"/>
    <n v="1605"/>
    <x v="6"/>
    <x v="0"/>
    <s v="NORMAL"/>
    <x v="2"/>
  </r>
  <r>
    <n v="1036"/>
    <d v="2026-09-12T00:00:00"/>
    <n v="7"/>
    <n v="2"/>
    <n v="11.6"/>
    <n v="1102"/>
    <x v="6"/>
    <x v="1"/>
    <s v="NORMAL"/>
    <x v="2"/>
  </r>
  <r>
    <n v="1037"/>
    <d v="2026-09-13T00:00:00"/>
    <n v="1"/>
    <n v="1"/>
    <n v="40.5"/>
    <n v="2430"/>
    <x v="0"/>
    <x v="0"/>
    <s v="NORMAL"/>
    <x v="2"/>
  </r>
  <r>
    <n v="1038"/>
    <d v="2026-09-13T00:00:00"/>
    <n v="1"/>
    <n v="2"/>
    <n v="42.4"/>
    <n v="2544"/>
    <x v="0"/>
    <x v="1"/>
    <s v="NORMAL"/>
    <x v="2"/>
  </r>
  <r>
    <n v="1039"/>
    <d v="2026-09-13T00:00:00"/>
    <n v="2"/>
    <n v="1"/>
    <n v="33.5"/>
    <n v="3015"/>
    <x v="1"/>
    <x v="0"/>
    <s v="NORMAL"/>
    <x v="2"/>
  </r>
  <r>
    <n v="1040"/>
    <d v="2026-09-13T00:00:00"/>
    <n v="2"/>
    <n v="2"/>
    <n v="31"/>
    <n v="2790"/>
    <x v="1"/>
    <x v="1"/>
    <s v="NORMAL"/>
    <x v="2"/>
  </r>
  <r>
    <n v="1041"/>
    <d v="2026-09-13T00:00:00"/>
    <n v="3"/>
    <n v="1"/>
    <n v="17.3"/>
    <n v="1384"/>
    <x v="2"/>
    <x v="0"/>
    <s v="NORMAL"/>
    <x v="2"/>
  </r>
  <r>
    <n v="1042"/>
    <d v="2026-09-13T00:00:00"/>
    <n v="3"/>
    <n v="2"/>
    <n v="11.9"/>
    <n v="952"/>
    <x v="2"/>
    <x v="1"/>
    <s v="NORMAL"/>
    <x v="2"/>
  </r>
  <r>
    <n v="1043"/>
    <d v="2026-09-13T00:00:00"/>
    <n v="4"/>
    <n v="1"/>
    <n v="37.299999999999997"/>
    <n v="932"/>
    <x v="3"/>
    <x v="0"/>
    <s v="NORMAL"/>
    <x v="2"/>
  </r>
  <r>
    <n v="1044"/>
    <d v="2026-09-13T00:00:00"/>
    <n v="4"/>
    <n v="2"/>
    <n v="26.1"/>
    <n v="652"/>
    <x v="3"/>
    <x v="1"/>
    <s v="NORMAL"/>
    <x v="2"/>
  </r>
  <r>
    <n v="1045"/>
    <d v="2026-09-13T00:00:00"/>
    <n v="5"/>
    <n v="1"/>
    <n v="36.5"/>
    <n v="4015"/>
    <x v="4"/>
    <x v="0"/>
    <s v="NORMAL"/>
    <x v="2"/>
  </r>
  <r>
    <n v="1046"/>
    <d v="2026-09-13T00:00:00"/>
    <n v="5"/>
    <n v="2"/>
    <n v="24.1"/>
    <n v="2651"/>
    <x v="4"/>
    <x v="1"/>
    <s v="NORMAL"/>
    <x v="2"/>
  </r>
  <r>
    <n v="1047"/>
    <d v="2026-09-13T00:00:00"/>
    <n v="6"/>
    <n v="1"/>
    <n v="3"/>
    <n v="660"/>
    <x v="5"/>
    <x v="0"/>
    <s v="NORMAL"/>
    <x v="2"/>
  </r>
  <r>
    <n v="1048"/>
    <d v="2026-09-13T00:00:00"/>
    <n v="6"/>
    <n v="2"/>
    <n v="2.6"/>
    <n v="572"/>
    <x v="5"/>
    <x v="1"/>
    <s v="NORMAL"/>
    <x v="2"/>
  </r>
  <r>
    <n v="1049"/>
    <d v="2026-09-13T00:00:00"/>
    <n v="7"/>
    <n v="1"/>
    <n v="13.2"/>
    <n v="1254"/>
    <x v="6"/>
    <x v="0"/>
    <s v="NORMAL"/>
    <x v="2"/>
  </r>
  <r>
    <n v="1050"/>
    <d v="2026-09-13T00:00:00"/>
    <n v="7"/>
    <n v="2"/>
    <n v="11"/>
    <n v="1045"/>
    <x v="6"/>
    <x v="1"/>
    <s v="NORMAL"/>
    <x v="2"/>
  </r>
  <r>
    <n v="1051"/>
    <d v="2026-09-14T00:00:00"/>
    <n v="1"/>
    <n v="1"/>
    <n v="34.700000000000003"/>
    <n v="2082"/>
    <x v="0"/>
    <x v="0"/>
    <s v="NORMAL"/>
    <x v="2"/>
  </r>
  <r>
    <n v="1052"/>
    <d v="2026-09-14T00:00:00"/>
    <n v="1"/>
    <n v="2"/>
    <n v="17.5"/>
    <n v="1050"/>
    <x v="0"/>
    <x v="1"/>
    <s v="NORMAL"/>
    <x v="2"/>
  </r>
  <r>
    <n v="1053"/>
    <d v="2026-09-14T00:00:00"/>
    <n v="2"/>
    <n v="1"/>
    <n v="20.3"/>
    <n v="1827"/>
    <x v="1"/>
    <x v="0"/>
    <s v="NORMAL"/>
    <x v="2"/>
  </r>
  <r>
    <n v="1054"/>
    <d v="2026-09-14T00:00:00"/>
    <n v="2"/>
    <n v="2"/>
    <n v="22.7"/>
    <n v="2043"/>
    <x v="1"/>
    <x v="1"/>
    <s v="NORMAL"/>
    <x v="2"/>
  </r>
  <r>
    <n v="1055"/>
    <d v="2026-09-14T00:00:00"/>
    <n v="3"/>
    <n v="1"/>
    <n v="15"/>
    <n v="1200"/>
    <x v="2"/>
    <x v="0"/>
    <s v="NORMAL"/>
    <x v="2"/>
  </r>
  <r>
    <n v="1056"/>
    <d v="2026-09-14T00:00:00"/>
    <n v="3"/>
    <n v="2"/>
    <n v="12.4"/>
    <n v="992"/>
    <x v="2"/>
    <x v="1"/>
    <s v="NORMAL"/>
    <x v="2"/>
  </r>
  <r>
    <n v="1057"/>
    <d v="2026-09-14T00:00:00"/>
    <n v="4"/>
    <n v="1"/>
    <n v="24"/>
    <n v="600"/>
    <x v="3"/>
    <x v="0"/>
    <s v="NORMAL"/>
    <x v="2"/>
  </r>
  <r>
    <n v="1058"/>
    <d v="2026-09-14T00:00:00"/>
    <n v="4"/>
    <n v="2"/>
    <n v="27.7"/>
    <n v="692"/>
    <x v="3"/>
    <x v="1"/>
    <s v="NORMAL"/>
    <x v="2"/>
  </r>
  <r>
    <n v="1059"/>
    <d v="2026-09-14T00:00:00"/>
    <n v="5"/>
    <n v="1"/>
    <n v="25.5"/>
    <n v="2805"/>
    <x v="4"/>
    <x v="0"/>
    <s v="NORMAL"/>
    <x v="2"/>
  </r>
  <r>
    <n v="1060"/>
    <d v="2026-09-14T00:00:00"/>
    <n v="5"/>
    <n v="2"/>
    <n v="19.8"/>
    <n v="2178"/>
    <x v="4"/>
    <x v="1"/>
    <s v="NORMAL"/>
    <x v="2"/>
  </r>
  <r>
    <n v="1061"/>
    <d v="2026-09-14T00:00:00"/>
    <n v="6"/>
    <n v="1"/>
    <n v="2.1"/>
    <n v="462"/>
    <x v="5"/>
    <x v="0"/>
    <s v="NORMAL"/>
    <x v="2"/>
  </r>
  <r>
    <n v="1062"/>
    <d v="2026-09-14T00:00:00"/>
    <n v="6"/>
    <n v="2"/>
    <n v="1.7"/>
    <n v="374"/>
    <x v="5"/>
    <x v="1"/>
    <s v="NORMAL"/>
    <x v="2"/>
  </r>
  <r>
    <n v="1063"/>
    <d v="2026-09-14T00:00:00"/>
    <n v="7"/>
    <n v="1"/>
    <n v="12.4"/>
    <n v="1178"/>
    <x v="6"/>
    <x v="0"/>
    <s v="NORMAL"/>
    <x v="2"/>
  </r>
  <r>
    <n v="1064"/>
    <d v="2026-09-14T00:00:00"/>
    <n v="7"/>
    <n v="2"/>
    <n v="10.199999999999999"/>
    <n v="969"/>
    <x v="6"/>
    <x v="1"/>
    <s v="NORMAL"/>
    <x v="2"/>
  </r>
  <r>
    <n v="1065"/>
    <d v="2026-09-15T00:00:00"/>
    <n v="1"/>
    <n v="1"/>
    <n v="36.700000000000003"/>
    <n v="2202"/>
    <x v="0"/>
    <x v="0"/>
    <s v="NORMAL"/>
    <x v="2"/>
  </r>
  <r>
    <n v="1066"/>
    <d v="2026-09-15T00:00:00"/>
    <n v="1"/>
    <n v="2"/>
    <n v="30.7"/>
    <n v="1842"/>
    <x v="0"/>
    <x v="1"/>
    <s v="NORMAL"/>
    <x v="2"/>
  </r>
  <r>
    <n v="1067"/>
    <d v="2026-09-15T00:00:00"/>
    <n v="2"/>
    <n v="1"/>
    <n v="21.6"/>
    <n v="1944"/>
    <x v="1"/>
    <x v="0"/>
    <s v="NORMAL"/>
    <x v="2"/>
  </r>
  <r>
    <n v="1068"/>
    <d v="2026-09-15T00:00:00"/>
    <n v="2"/>
    <n v="2"/>
    <n v="19"/>
    <n v="1710"/>
    <x v="1"/>
    <x v="1"/>
    <s v="NORMAL"/>
    <x v="2"/>
  </r>
  <r>
    <n v="1069"/>
    <d v="2026-09-15T00:00:00"/>
    <n v="3"/>
    <n v="1"/>
    <n v="9.9"/>
    <n v="792"/>
    <x v="2"/>
    <x v="0"/>
    <s v="NORMAL"/>
    <x v="2"/>
  </r>
  <r>
    <n v="1070"/>
    <d v="2026-09-15T00:00:00"/>
    <n v="3"/>
    <n v="2"/>
    <n v="19.899999999999999"/>
    <n v="1592"/>
    <x v="2"/>
    <x v="1"/>
    <s v="NORMAL"/>
    <x v="2"/>
  </r>
  <r>
    <n v="1071"/>
    <d v="2026-09-15T00:00:00"/>
    <n v="4"/>
    <n v="1"/>
    <n v="23.5"/>
    <n v="588"/>
    <x v="3"/>
    <x v="0"/>
    <s v="NORMAL"/>
    <x v="2"/>
  </r>
  <r>
    <n v="1072"/>
    <d v="2026-09-15T00:00:00"/>
    <n v="4"/>
    <n v="2"/>
    <n v="25.9"/>
    <n v="648"/>
    <x v="3"/>
    <x v="1"/>
    <s v="NORMAL"/>
    <x v="2"/>
  </r>
  <r>
    <n v="1073"/>
    <d v="2026-09-15T00:00:00"/>
    <n v="5"/>
    <n v="1"/>
    <n v="26"/>
    <n v="2860"/>
    <x v="4"/>
    <x v="0"/>
    <s v="NORMAL"/>
    <x v="2"/>
  </r>
  <r>
    <n v="1074"/>
    <d v="2026-09-15T00:00:00"/>
    <n v="5"/>
    <n v="2"/>
    <n v="23.8"/>
    <n v="2618"/>
    <x v="4"/>
    <x v="1"/>
    <s v="NORMAL"/>
    <x v="2"/>
  </r>
  <r>
    <n v="1075"/>
    <d v="2026-09-15T00:00:00"/>
    <n v="6"/>
    <n v="1"/>
    <n v="1.8"/>
    <n v="396"/>
    <x v="5"/>
    <x v="0"/>
    <s v="NORMAL"/>
    <x v="2"/>
  </r>
  <r>
    <n v="1076"/>
    <d v="2026-09-15T00:00:00"/>
    <n v="6"/>
    <n v="2"/>
    <n v="1.1000000000000001"/>
    <n v="242"/>
    <x v="5"/>
    <x v="1"/>
    <s v="NORMAL"/>
    <x v="2"/>
  </r>
  <r>
    <n v="1077"/>
    <d v="2026-09-15T00:00:00"/>
    <n v="7"/>
    <n v="1"/>
    <n v="8"/>
    <n v="760"/>
    <x v="6"/>
    <x v="0"/>
    <s v="NORMAL"/>
    <x v="2"/>
  </r>
  <r>
    <n v="1078"/>
    <d v="2026-09-15T00:00:00"/>
    <n v="7"/>
    <n v="2"/>
    <n v="6.5"/>
    <n v="618"/>
    <x v="6"/>
    <x v="1"/>
    <s v="NORMAL"/>
    <x v="2"/>
  </r>
  <r>
    <n v="1079"/>
    <d v="2026-09-16T00:00:00"/>
    <n v="1"/>
    <n v="1"/>
    <n v="31.2"/>
    <n v="1872"/>
    <x v="0"/>
    <x v="0"/>
    <s v="NORMAL"/>
    <x v="2"/>
  </r>
  <r>
    <n v="1080"/>
    <d v="2026-09-16T00:00:00"/>
    <n v="1"/>
    <n v="2"/>
    <n v="24.9"/>
    <n v="1494"/>
    <x v="0"/>
    <x v="1"/>
    <s v="NORMAL"/>
    <x v="2"/>
  </r>
  <r>
    <n v="1081"/>
    <d v="2026-09-16T00:00:00"/>
    <n v="2"/>
    <n v="1"/>
    <n v="22.4"/>
    <n v="2016"/>
    <x v="1"/>
    <x v="0"/>
    <s v="NORMAL"/>
    <x v="2"/>
  </r>
  <r>
    <n v="1082"/>
    <d v="2026-09-16T00:00:00"/>
    <n v="2"/>
    <n v="2"/>
    <n v="24.4"/>
    <n v="2196"/>
    <x v="1"/>
    <x v="1"/>
    <s v="NORMAL"/>
    <x v="2"/>
  </r>
  <r>
    <n v="1083"/>
    <d v="2026-09-16T00:00:00"/>
    <n v="3"/>
    <n v="1"/>
    <n v="12.4"/>
    <n v="992"/>
    <x v="2"/>
    <x v="0"/>
    <s v="NORMAL"/>
    <x v="2"/>
  </r>
  <r>
    <n v="1084"/>
    <d v="2026-09-16T00:00:00"/>
    <n v="3"/>
    <n v="2"/>
    <n v="14.9"/>
    <n v="1192"/>
    <x v="2"/>
    <x v="1"/>
    <s v="NORMAL"/>
    <x v="2"/>
  </r>
  <r>
    <n v="1085"/>
    <d v="2026-09-16T00:00:00"/>
    <n v="4"/>
    <n v="1"/>
    <n v="27.7"/>
    <n v="692"/>
    <x v="3"/>
    <x v="0"/>
    <s v="NORMAL"/>
    <x v="2"/>
  </r>
  <r>
    <n v="1086"/>
    <d v="2026-09-16T00:00:00"/>
    <n v="4"/>
    <n v="2"/>
    <n v="28.2"/>
    <n v="705"/>
    <x v="3"/>
    <x v="1"/>
    <s v="NORMAL"/>
    <x v="2"/>
  </r>
  <r>
    <n v="1087"/>
    <d v="2026-09-16T00:00:00"/>
    <n v="5"/>
    <n v="1"/>
    <n v="20.6"/>
    <n v="2266"/>
    <x v="4"/>
    <x v="0"/>
    <s v="NORMAL"/>
    <x v="2"/>
  </r>
  <r>
    <n v="1088"/>
    <d v="2026-09-16T00:00:00"/>
    <n v="5"/>
    <n v="2"/>
    <n v="28.5"/>
    <n v="3135"/>
    <x v="4"/>
    <x v="1"/>
    <s v="NORMAL"/>
    <x v="2"/>
  </r>
  <r>
    <n v="1089"/>
    <d v="2026-09-16T00:00:00"/>
    <n v="6"/>
    <n v="1"/>
    <n v="1.8"/>
    <n v="396"/>
    <x v="5"/>
    <x v="0"/>
    <s v="NORMAL"/>
    <x v="2"/>
  </r>
  <r>
    <n v="1090"/>
    <d v="2026-09-16T00:00:00"/>
    <n v="6"/>
    <n v="2"/>
    <n v="1.9"/>
    <n v="418"/>
    <x v="5"/>
    <x v="1"/>
    <s v="NORMAL"/>
    <x v="2"/>
  </r>
  <r>
    <n v="1091"/>
    <d v="2026-09-16T00:00:00"/>
    <n v="7"/>
    <n v="1"/>
    <n v="10.7"/>
    <n v="1016"/>
    <x v="6"/>
    <x v="0"/>
    <s v="NORMAL"/>
    <x v="2"/>
  </r>
  <r>
    <n v="1092"/>
    <d v="2026-09-16T00:00:00"/>
    <n v="7"/>
    <n v="2"/>
    <n v="8.6999999999999993"/>
    <n v="826"/>
    <x v="6"/>
    <x v="1"/>
    <s v="NORMAL"/>
    <x v="2"/>
  </r>
  <r>
    <n v="1093"/>
    <d v="2026-09-17T00:00:00"/>
    <n v="1"/>
    <n v="1"/>
    <n v="33.4"/>
    <n v="2004"/>
    <x v="0"/>
    <x v="0"/>
    <s v="NORMAL"/>
    <x v="2"/>
  </r>
  <r>
    <n v="1094"/>
    <d v="2026-09-17T00:00:00"/>
    <n v="1"/>
    <n v="2"/>
    <n v="26.6"/>
    <n v="1596"/>
    <x v="0"/>
    <x v="1"/>
    <s v="NORMAL"/>
    <x v="2"/>
  </r>
  <r>
    <n v="1095"/>
    <d v="2026-09-17T00:00:00"/>
    <n v="2"/>
    <n v="1"/>
    <n v="33"/>
    <n v="2970"/>
    <x v="1"/>
    <x v="0"/>
    <s v="NORMAL"/>
    <x v="2"/>
  </r>
  <r>
    <n v="1096"/>
    <d v="2026-09-17T00:00:00"/>
    <n v="2"/>
    <n v="2"/>
    <n v="27.8"/>
    <n v="2502"/>
    <x v="1"/>
    <x v="1"/>
    <s v="NORMAL"/>
    <x v="2"/>
  </r>
  <r>
    <n v="1097"/>
    <d v="2026-09-17T00:00:00"/>
    <n v="3"/>
    <n v="1"/>
    <n v="15.4"/>
    <n v="1232"/>
    <x v="2"/>
    <x v="0"/>
    <s v="NORMAL"/>
    <x v="2"/>
  </r>
  <r>
    <n v="1098"/>
    <d v="2026-09-17T00:00:00"/>
    <n v="3"/>
    <n v="2"/>
    <n v="9.6"/>
    <n v="768"/>
    <x v="2"/>
    <x v="1"/>
    <s v="NORMAL"/>
    <x v="2"/>
  </r>
  <r>
    <n v="1099"/>
    <d v="2026-09-17T00:00:00"/>
    <n v="4"/>
    <n v="1"/>
    <n v="23.4"/>
    <n v="585"/>
    <x v="3"/>
    <x v="0"/>
    <s v="NORMAL"/>
    <x v="2"/>
  </r>
  <r>
    <n v="1100"/>
    <d v="2026-09-17T00:00:00"/>
    <n v="4"/>
    <n v="2"/>
    <n v="23.4"/>
    <n v="585"/>
    <x v="3"/>
    <x v="1"/>
    <s v="NORMAL"/>
    <x v="2"/>
  </r>
  <r>
    <n v="1101"/>
    <d v="2026-09-17T00:00:00"/>
    <n v="5"/>
    <n v="1"/>
    <n v="26.6"/>
    <n v="2926"/>
    <x v="4"/>
    <x v="0"/>
    <s v="NORMAL"/>
    <x v="2"/>
  </r>
  <r>
    <n v="1102"/>
    <d v="2026-09-17T00:00:00"/>
    <n v="5"/>
    <n v="2"/>
    <n v="27.5"/>
    <n v="3025"/>
    <x v="4"/>
    <x v="1"/>
    <s v="NORMAL"/>
    <x v="2"/>
  </r>
  <r>
    <n v="1103"/>
    <d v="2026-09-17T00:00:00"/>
    <n v="6"/>
    <n v="1"/>
    <n v="1.6"/>
    <n v="352"/>
    <x v="5"/>
    <x v="0"/>
    <s v="NORMAL"/>
    <x v="2"/>
  </r>
  <r>
    <n v="1104"/>
    <d v="2026-09-17T00:00:00"/>
    <n v="6"/>
    <n v="2"/>
    <n v="2.2000000000000002"/>
    <n v="484"/>
    <x v="5"/>
    <x v="1"/>
    <s v="NORMAL"/>
    <x v="2"/>
  </r>
  <r>
    <n v="1105"/>
    <d v="2026-09-17T00:00:00"/>
    <n v="7"/>
    <n v="1"/>
    <n v="10"/>
    <n v="950"/>
    <x v="6"/>
    <x v="0"/>
    <s v="NORMAL"/>
    <x v="2"/>
  </r>
  <r>
    <n v="1106"/>
    <d v="2026-09-17T00:00:00"/>
    <n v="7"/>
    <n v="2"/>
    <n v="5.4"/>
    <n v="513"/>
    <x v="6"/>
    <x v="1"/>
    <s v="NORMAL"/>
    <x v="2"/>
  </r>
  <r>
    <n v="1107"/>
    <d v="2026-09-18T00:00:00"/>
    <n v="1"/>
    <n v="1"/>
    <n v="29"/>
    <n v="1740"/>
    <x v="0"/>
    <x v="0"/>
    <s v="NORMAL"/>
    <x v="2"/>
  </r>
  <r>
    <n v="1108"/>
    <d v="2026-09-18T00:00:00"/>
    <n v="1"/>
    <n v="2"/>
    <n v="13.9"/>
    <n v="834"/>
    <x v="0"/>
    <x v="1"/>
    <s v="NORMAL"/>
    <x v="2"/>
  </r>
  <r>
    <n v="1109"/>
    <d v="2026-09-18T00:00:00"/>
    <n v="2"/>
    <n v="1"/>
    <n v="22.1"/>
    <n v="1989"/>
    <x v="1"/>
    <x v="0"/>
    <s v="NORMAL"/>
    <x v="2"/>
  </r>
  <r>
    <n v="1110"/>
    <d v="2026-09-18T00:00:00"/>
    <n v="2"/>
    <n v="2"/>
    <n v="20.8"/>
    <n v="1872"/>
    <x v="1"/>
    <x v="1"/>
    <s v="NORMAL"/>
    <x v="2"/>
  </r>
  <r>
    <n v="1111"/>
    <d v="2026-09-18T00:00:00"/>
    <n v="3"/>
    <n v="1"/>
    <n v="12.3"/>
    <n v="984"/>
    <x v="2"/>
    <x v="0"/>
    <s v="NORMAL"/>
    <x v="2"/>
  </r>
  <r>
    <n v="1112"/>
    <d v="2026-09-18T00:00:00"/>
    <n v="3"/>
    <n v="2"/>
    <n v="11.8"/>
    <n v="944"/>
    <x v="2"/>
    <x v="1"/>
    <s v="NORMAL"/>
    <x v="2"/>
  </r>
  <r>
    <n v="1113"/>
    <d v="2026-09-18T00:00:00"/>
    <n v="4"/>
    <n v="1"/>
    <n v="27.6"/>
    <n v="690"/>
    <x v="3"/>
    <x v="0"/>
    <s v="NORMAL"/>
    <x v="2"/>
  </r>
  <r>
    <n v="1114"/>
    <d v="2026-09-18T00:00:00"/>
    <n v="4"/>
    <n v="2"/>
    <n v="23.8"/>
    <n v="595"/>
    <x v="3"/>
    <x v="1"/>
    <s v="NORMAL"/>
    <x v="2"/>
  </r>
  <r>
    <n v="1115"/>
    <d v="2026-09-18T00:00:00"/>
    <n v="5"/>
    <n v="1"/>
    <n v="36.4"/>
    <n v="4004"/>
    <x v="4"/>
    <x v="0"/>
    <s v="NORMAL"/>
    <x v="2"/>
  </r>
  <r>
    <n v="1116"/>
    <d v="2026-09-18T00:00:00"/>
    <n v="5"/>
    <n v="2"/>
    <n v="31.3"/>
    <n v="3443"/>
    <x v="4"/>
    <x v="1"/>
    <s v="NORMAL"/>
    <x v="2"/>
  </r>
  <r>
    <n v="1117"/>
    <d v="2026-09-18T00:00:00"/>
    <n v="6"/>
    <n v="1"/>
    <n v="1.5"/>
    <n v="330"/>
    <x v="5"/>
    <x v="0"/>
    <s v="NORMAL"/>
    <x v="2"/>
  </r>
  <r>
    <n v="1118"/>
    <d v="2026-09-18T00:00:00"/>
    <n v="6"/>
    <n v="2"/>
    <n v="2.2999999999999998"/>
    <n v="506"/>
    <x v="5"/>
    <x v="1"/>
    <s v="NORMAL"/>
    <x v="2"/>
  </r>
  <r>
    <n v="1119"/>
    <d v="2026-09-18T00:00:00"/>
    <n v="7"/>
    <n v="1"/>
    <n v="6.8"/>
    <n v="646"/>
    <x v="6"/>
    <x v="0"/>
    <s v="NORMAL"/>
    <x v="2"/>
  </r>
  <r>
    <n v="1120"/>
    <d v="2026-09-18T00:00:00"/>
    <n v="7"/>
    <n v="2"/>
    <n v="7.5"/>
    <n v="712"/>
    <x v="6"/>
    <x v="1"/>
    <s v="NORMAL"/>
    <x v="2"/>
  </r>
  <r>
    <n v="1121"/>
    <d v="2026-09-19T00:00:00"/>
    <n v="1"/>
    <n v="1"/>
    <n v="52.2"/>
    <n v="3132"/>
    <x v="0"/>
    <x v="0"/>
    <s v="BIG"/>
    <x v="2"/>
  </r>
  <r>
    <n v="1122"/>
    <d v="2026-09-19T00:00:00"/>
    <n v="1"/>
    <n v="2"/>
    <n v="19.899999999999999"/>
    <n v="1194"/>
    <x v="0"/>
    <x v="1"/>
    <s v="NORMAL"/>
    <x v="2"/>
  </r>
  <r>
    <n v="1123"/>
    <d v="2026-09-19T00:00:00"/>
    <n v="2"/>
    <n v="1"/>
    <n v="36.200000000000003"/>
    <n v="3258"/>
    <x v="1"/>
    <x v="0"/>
    <s v="NORMAL"/>
    <x v="2"/>
  </r>
  <r>
    <n v="1124"/>
    <d v="2026-09-19T00:00:00"/>
    <n v="2"/>
    <n v="2"/>
    <n v="21.9"/>
    <n v="1971"/>
    <x v="1"/>
    <x v="1"/>
    <s v="NORMAL"/>
    <x v="2"/>
  </r>
  <r>
    <n v="1125"/>
    <d v="2026-09-19T00:00:00"/>
    <n v="3"/>
    <n v="1"/>
    <n v="17"/>
    <n v="1360"/>
    <x v="2"/>
    <x v="0"/>
    <s v="NORMAL"/>
    <x v="2"/>
  </r>
  <r>
    <n v="1126"/>
    <d v="2026-09-19T00:00:00"/>
    <n v="3"/>
    <n v="2"/>
    <n v="15.2"/>
    <n v="1216"/>
    <x v="2"/>
    <x v="1"/>
    <s v="NORMAL"/>
    <x v="2"/>
  </r>
  <r>
    <n v="1127"/>
    <d v="2026-09-19T00:00:00"/>
    <n v="4"/>
    <n v="1"/>
    <n v="50.2"/>
    <n v="1255"/>
    <x v="3"/>
    <x v="0"/>
    <s v="BIG"/>
    <x v="2"/>
  </r>
  <r>
    <n v="1128"/>
    <d v="2026-09-19T00:00:00"/>
    <n v="4"/>
    <n v="2"/>
    <n v="28.3"/>
    <n v="708"/>
    <x v="3"/>
    <x v="1"/>
    <s v="NORMAL"/>
    <x v="2"/>
  </r>
  <r>
    <n v="1129"/>
    <d v="2026-09-19T00:00:00"/>
    <n v="5"/>
    <n v="1"/>
    <n v="34.5"/>
    <n v="3795"/>
    <x v="4"/>
    <x v="0"/>
    <s v="NORMAL"/>
    <x v="2"/>
  </r>
  <r>
    <n v="1130"/>
    <d v="2026-09-19T00:00:00"/>
    <n v="5"/>
    <n v="2"/>
    <n v="35.5"/>
    <n v="3905"/>
    <x v="4"/>
    <x v="1"/>
    <s v="NORMAL"/>
    <x v="2"/>
  </r>
  <r>
    <n v="1131"/>
    <d v="2026-09-19T00:00:00"/>
    <n v="6"/>
    <n v="1"/>
    <n v="2.4"/>
    <n v="528"/>
    <x v="5"/>
    <x v="0"/>
    <s v="NORMAL"/>
    <x v="2"/>
  </r>
  <r>
    <n v="1132"/>
    <d v="2026-09-19T00:00:00"/>
    <n v="6"/>
    <n v="2"/>
    <n v="1.9"/>
    <n v="418"/>
    <x v="5"/>
    <x v="1"/>
    <s v="NORMAL"/>
    <x v="2"/>
  </r>
  <r>
    <n v="1133"/>
    <d v="2026-09-19T00:00:00"/>
    <n v="7"/>
    <n v="1"/>
    <n v="12.4"/>
    <n v="1178"/>
    <x v="6"/>
    <x v="0"/>
    <s v="NORMAL"/>
    <x v="2"/>
  </r>
  <r>
    <n v="1134"/>
    <d v="2026-09-19T00:00:00"/>
    <n v="7"/>
    <n v="2"/>
    <n v="11.5"/>
    <n v="1092"/>
    <x v="6"/>
    <x v="1"/>
    <s v="NORMAL"/>
    <x v="2"/>
  </r>
  <r>
    <n v="1135"/>
    <d v="2026-09-20T00:00:00"/>
    <n v="1"/>
    <n v="1"/>
    <n v="47.1"/>
    <n v="2826"/>
    <x v="0"/>
    <x v="0"/>
    <s v="NORMAL"/>
    <x v="2"/>
  </r>
  <r>
    <n v="1136"/>
    <d v="2026-09-20T00:00:00"/>
    <n v="1"/>
    <n v="2"/>
    <n v="29.2"/>
    <n v="1752"/>
    <x v="0"/>
    <x v="1"/>
    <s v="NORMAL"/>
    <x v="2"/>
  </r>
  <r>
    <n v="1137"/>
    <d v="2026-09-20T00:00:00"/>
    <n v="2"/>
    <n v="1"/>
    <n v="29.6"/>
    <n v="2664"/>
    <x v="1"/>
    <x v="0"/>
    <s v="NORMAL"/>
    <x v="2"/>
  </r>
  <r>
    <n v="1138"/>
    <d v="2026-09-20T00:00:00"/>
    <n v="2"/>
    <n v="2"/>
    <n v="31.1"/>
    <n v="2799"/>
    <x v="1"/>
    <x v="1"/>
    <s v="NORMAL"/>
    <x v="2"/>
  </r>
  <r>
    <n v="1139"/>
    <d v="2026-09-20T00:00:00"/>
    <n v="3"/>
    <n v="1"/>
    <n v="16.899999999999999"/>
    <n v="1352"/>
    <x v="2"/>
    <x v="0"/>
    <s v="NORMAL"/>
    <x v="2"/>
  </r>
  <r>
    <n v="1140"/>
    <d v="2026-09-20T00:00:00"/>
    <n v="3"/>
    <n v="2"/>
    <n v="15.2"/>
    <n v="1216"/>
    <x v="2"/>
    <x v="1"/>
    <s v="NORMAL"/>
    <x v="2"/>
  </r>
  <r>
    <n v="1141"/>
    <d v="2026-09-20T00:00:00"/>
    <n v="4"/>
    <n v="1"/>
    <n v="37.4"/>
    <n v="935"/>
    <x v="3"/>
    <x v="0"/>
    <s v="NORMAL"/>
    <x v="2"/>
  </r>
  <r>
    <n v="1142"/>
    <d v="2026-09-20T00:00:00"/>
    <n v="4"/>
    <n v="2"/>
    <n v="29.1"/>
    <n v="728"/>
    <x v="3"/>
    <x v="1"/>
    <s v="NORMAL"/>
    <x v="2"/>
  </r>
  <r>
    <n v="1143"/>
    <d v="2026-09-20T00:00:00"/>
    <n v="5"/>
    <n v="1"/>
    <n v="29.4"/>
    <n v="3234"/>
    <x v="4"/>
    <x v="0"/>
    <s v="NORMAL"/>
    <x v="2"/>
  </r>
  <r>
    <n v="1144"/>
    <d v="2026-09-20T00:00:00"/>
    <n v="5"/>
    <n v="2"/>
    <n v="34.299999999999997"/>
    <n v="3773"/>
    <x v="4"/>
    <x v="1"/>
    <s v="NORMAL"/>
    <x v="2"/>
  </r>
  <r>
    <n v="1145"/>
    <d v="2026-09-20T00:00:00"/>
    <n v="6"/>
    <n v="1"/>
    <n v="2"/>
    <n v="440"/>
    <x v="5"/>
    <x v="0"/>
    <s v="NORMAL"/>
    <x v="2"/>
  </r>
  <r>
    <n v="1146"/>
    <d v="2026-09-20T00:00:00"/>
    <n v="6"/>
    <n v="2"/>
    <n v="2.8"/>
    <n v="616"/>
    <x v="5"/>
    <x v="1"/>
    <s v="NORMAL"/>
    <x v="2"/>
  </r>
  <r>
    <n v="1147"/>
    <d v="2026-09-20T00:00:00"/>
    <n v="7"/>
    <n v="1"/>
    <n v="13"/>
    <n v="1235"/>
    <x v="6"/>
    <x v="0"/>
    <s v="NORMAL"/>
    <x v="2"/>
  </r>
  <r>
    <n v="1148"/>
    <d v="2026-09-20T00:00:00"/>
    <n v="7"/>
    <n v="2"/>
    <n v="8.4"/>
    <n v="798"/>
    <x v="6"/>
    <x v="1"/>
    <s v="NORMAL"/>
    <x v="2"/>
  </r>
  <r>
    <n v="1149"/>
    <d v="2026-09-21T00:00:00"/>
    <n v="1"/>
    <n v="1"/>
    <n v="33.799999999999997"/>
    <n v="2028"/>
    <x v="0"/>
    <x v="0"/>
    <s v="NORMAL"/>
    <x v="2"/>
  </r>
  <r>
    <n v="1150"/>
    <d v="2026-09-21T00:00:00"/>
    <n v="1"/>
    <n v="2"/>
    <n v="29.8"/>
    <n v="1788"/>
    <x v="0"/>
    <x v="1"/>
    <s v="NORMAL"/>
    <x v="2"/>
  </r>
  <r>
    <n v="1151"/>
    <d v="2026-09-21T00:00:00"/>
    <n v="2"/>
    <n v="1"/>
    <n v="30"/>
    <n v="2700"/>
    <x v="1"/>
    <x v="0"/>
    <s v="NORMAL"/>
    <x v="2"/>
  </r>
  <r>
    <n v="1152"/>
    <d v="2026-09-21T00:00:00"/>
    <n v="2"/>
    <n v="2"/>
    <n v="28.8"/>
    <n v="2592"/>
    <x v="1"/>
    <x v="1"/>
    <s v="NORMAL"/>
    <x v="2"/>
  </r>
  <r>
    <n v="1153"/>
    <d v="2026-09-21T00:00:00"/>
    <n v="3"/>
    <n v="1"/>
    <n v="13"/>
    <n v="1040"/>
    <x v="2"/>
    <x v="0"/>
    <s v="NORMAL"/>
    <x v="2"/>
  </r>
  <r>
    <n v="1154"/>
    <d v="2026-09-21T00:00:00"/>
    <n v="3"/>
    <n v="2"/>
    <n v="10.8"/>
    <n v="864"/>
    <x v="2"/>
    <x v="1"/>
    <s v="NORMAL"/>
    <x v="2"/>
  </r>
  <r>
    <n v="1155"/>
    <d v="2026-09-21T00:00:00"/>
    <n v="4"/>
    <n v="1"/>
    <n v="26.4"/>
    <n v="660"/>
    <x v="3"/>
    <x v="0"/>
    <s v="NORMAL"/>
    <x v="2"/>
  </r>
  <r>
    <n v="1156"/>
    <d v="2026-09-21T00:00:00"/>
    <n v="4"/>
    <n v="2"/>
    <n v="21.7"/>
    <n v="542"/>
    <x v="3"/>
    <x v="1"/>
    <s v="NORMAL"/>
    <x v="2"/>
  </r>
  <r>
    <n v="1157"/>
    <d v="2026-09-21T00:00:00"/>
    <n v="5"/>
    <n v="1"/>
    <n v="23.8"/>
    <n v="2618"/>
    <x v="4"/>
    <x v="0"/>
    <s v="NORMAL"/>
    <x v="2"/>
  </r>
  <r>
    <n v="1158"/>
    <d v="2026-09-21T00:00:00"/>
    <n v="5"/>
    <n v="2"/>
    <n v="26.6"/>
    <n v="2926"/>
    <x v="4"/>
    <x v="1"/>
    <s v="NORMAL"/>
    <x v="2"/>
  </r>
  <r>
    <n v="1159"/>
    <d v="2026-09-21T00:00:00"/>
    <n v="6"/>
    <n v="1"/>
    <n v="2"/>
    <n v="440"/>
    <x v="5"/>
    <x v="0"/>
    <s v="NORMAL"/>
    <x v="2"/>
  </r>
  <r>
    <n v="1160"/>
    <d v="2026-09-21T00:00:00"/>
    <n v="6"/>
    <n v="2"/>
    <n v="1.6"/>
    <n v="352"/>
    <x v="5"/>
    <x v="1"/>
    <s v="NORMAL"/>
    <x v="2"/>
  </r>
  <r>
    <n v="1161"/>
    <d v="2026-09-21T00:00:00"/>
    <n v="7"/>
    <n v="1"/>
    <n v="8.5"/>
    <n v="808"/>
    <x v="6"/>
    <x v="0"/>
    <s v="NORMAL"/>
    <x v="2"/>
  </r>
  <r>
    <n v="1162"/>
    <d v="2026-09-21T00:00:00"/>
    <n v="7"/>
    <n v="2"/>
    <n v="9.6"/>
    <n v="912"/>
    <x v="6"/>
    <x v="1"/>
    <s v="NORMAL"/>
    <x v="2"/>
  </r>
  <r>
    <n v="1163"/>
    <d v="2026-09-22T00:00:00"/>
    <n v="1"/>
    <n v="1"/>
    <n v="28.8"/>
    <n v="1728"/>
    <x v="0"/>
    <x v="0"/>
    <s v="NORMAL"/>
    <x v="2"/>
  </r>
  <r>
    <n v="1164"/>
    <d v="2026-09-22T00:00:00"/>
    <n v="1"/>
    <n v="2"/>
    <n v="22.8"/>
    <n v="1368"/>
    <x v="0"/>
    <x v="1"/>
    <s v="NORMAL"/>
    <x v="2"/>
  </r>
  <r>
    <n v="1165"/>
    <d v="2026-09-22T00:00:00"/>
    <n v="2"/>
    <n v="1"/>
    <n v="25.2"/>
    <n v="2268"/>
    <x v="1"/>
    <x v="0"/>
    <s v="NORMAL"/>
    <x v="2"/>
  </r>
  <r>
    <n v="1166"/>
    <d v="2026-09-22T00:00:00"/>
    <n v="2"/>
    <n v="2"/>
    <n v="22.2"/>
    <n v="1998"/>
    <x v="1"/>
    <x v="1"/>
    <s v="NORMAL"/>
    <x v="2"/>
  </r>
  <r>
    <n v="1167"/>
    <d v="2026-09-22T00:00:00"/>
    <n v="3"/>
    <n v="1"/>
    <n v="11"/>
    <n v="880"/>
    <x v="2"/>
    <x v="0"/>
    <s v="NORMAL"/>
    <x v="2"/>
  </r>
  <r>
    <n v="1168"/>
    <d v="2026-09-22T00:00:00"/>
    <n v="3"/>
    <n v="2"/>
    <n v="14.7"/>
    <n v="1176"/>
    <x v="2"/>
    <x v="1"/>
    <s v="NORMAL"/>
    <x v="2"/>
  </r>
  <r>
    <n v="1169"/>
    <d v="2026-09-22T00:00:00"/>
    <n v="4"/>
    <n v="1"/>
    <n v="35.1"/>
    <n v="878"/>
    <x v="3"/>
    <x v="0"/>
    <s v="NORMAL"/>
    <x v="2"/>
  </r>
  <r>
    <n v="1170"/>
    <d v="2026-09-22T00:00:00"/>
    <n v="4"/>
    <n v="2"/>
    <n v="27.2"/>
    <n v="680"/>
    <x v="3"/>
    <x v="1"/>
    <s v="NORMAL"/>
    <x v="2"/>
  </r>
  <r>
    <n v="1171"/>
    <d v="2026-09-22T00:00:00"/>
    <n v="5"/>
    <n v="1"/>
    <n v="28.7"/>
    <n v="3157"/>
    <x v="4"/>
    <x v="0"/>
    <s v="NORMAL"/>
    <x v="2"/>
  </r>
  <r>
    <n v="1172"/>
    <d v="2026-09-22T00:00:00"/>
    <n v="5"/>
    <n v="2"/>
    <n v="27.9"/>
    <n v="3069"/>
    <x v="4"/>
    <x v="1"/>
    <s v="NORMAL"/>
    <x v="2"/>
  </r>
  <r>
    <n v="1173"/>
    <d v="2026-09-22T00:00:00"/>
    <n v="6"/>
    <n v="1"/>
    <n v="2"/>
    <n v="440"/>
    <x v="5"/>
    <x v="0"/>
    <s v="NORMAL"/>
    <x v="2"/>
  </r>
  <r>
    <n v="1174"/>
    <d v="2026-09-22T00:00:00"/>
    <n v="6"/>
    <n v="2"/>
    <n v="2.1"/>
    <n v="462"/>
    <x v="5"/>
    <x v="1"/>
    <s v="NORMAL"/>
    <x v="2"/>
  </r>
  <r>
    <n v="1175"/>
    <d v="2026-09-22T00:00:00"/>
    <n v="7"/>
    <n v="1"/>
    <n v="13.3"/>
    <n v="1264"/>
    <x v="6"/>
    <x v="0"/>
    <s v="NORMAL"/>
    <x v="2"/>
  </r>
  <r>
    <n v="1176"/>
    <d v="2026-09-22T00:00:00"/>
    <n v="7"/>
    <n v="2"/>
    <n v="9.1"/>
    <n v="864"/>
    <x v="6"/>
    <x v="1"/>
    <s v="NORMAL"/>
    <x v="2"/>
  </r>
  <r>
    <n v="1177"/>
    <d v="2026-09-23T00:00:00"/>
    <n v="1"/>
    <n v="1"/>
    <n v="34.799999999999997"/>
    <n v="2088"/>
    <x v="0"/>
    <x v="0"/>
    <s v="NORMAL"/>
    <x v="2"/>
  </r>
  <r>
    <n v="1178"/>
    <d v="2026-09-23T00:00:00"/>
    <n v="1"/>
    <n v="2"/>
    <n v="33.799999999999997"/>
    <n v="2028"/>
    <x v="0"/>
    <x v="1"/>
    <s v="NORMAL"/>
    <x v="2"/>
  </r>
  <r>
    <n v="1179"/>
    <d v="2026-09-23T00:00:00"/>
    <n v="2"/>
    <n v="1"/>
    <n v="24.2"/>
    <n v="2178"/>
    <x v="1"/>
    <x v="0"/>
    <s v="NORMAL"/>
    <x v="2"/>
  </r>
  <r>
    <n v="1180"/>
    <d v="2026-09-23T00:00:00"/>
    <n v="2"/>
    <n v="2"/>
    <n v="18.100000000000001"/>
    <n v="1629"/>
    <x v="1"/>
    <x v="1"/>
    <s v="NORMAL"/>
    <x v="2"/>
  </r>
  <r>
    <n v="1181"/>
    <d v="2026-09-23T00:00:00"/>
    <n v="3"/>
    <n v="1"/>
    <n v="16.5"/>
    <n v="1320"/>
    <x v="2"/>
    <x v="0"/>
    <s v="NORMAL"/>
    <x v="2"/>
  </r>
  <r>
    <n v="1182"/>
    <d v="2026-09-23T00:00:00"/>
    <n v="3"/>
    <n v="2"/>
    <n v="8.6"/>
    <n v="688"/>
    <x v="2"/>
    <x v="1"/>
    <s v="NORMAL"/>
    <x v="2"/>
  </r>
  <r>
    <n v="1183"/>
    <d v="2026-09-23T00:00:00"/>
    <n v="4"/>
    <n v="1"/>
    <n v="40.700000000000003"/>
    <n v="1018"/>
    <x v="3"/>
    <x v="0"/>
    <s v="NORMAL"/>
    <x v="2"/>
  </r>
  <r>
    <n v="1184"/>
    <d v="2026-09-23T00:00:00"/>
    <n v="4"/>
    <n v="2"/>
    <n v="31.7"/>
    <n v="792"/>
    <x v="3"/>
    <x v="1"/>
    <s v="NORMAL"/>
    <x v="2"/>
  </r>
  <r>
    <n v="1185"/>
    <d v="2026-09-23T00:00:00"/>
    <n v="5"/>
    <n v="1"/>
    <n v="29.1"/>
    <n v="3201"/>
    <x v="4"/>
    <x v="0"/>
    <s v="NORMAL"/>
    <x v="2"/>
  </r>
  <r>
    <n v="1186"/>
    <d v="2026-09-23T00:00:00"/>
    <n v="5"/>
    <n v="2"/>
    <n v="25.5"/>
    <n v="2805"/>
    <x v="4"/>
    <x v="1"/>
    <s v="NORMAL"/>
    <x v="2"/>
  </r>
  <r>
    <n v="1187"/>
    <d v="2026-09-23T00:00:00"/>
    <n v="6"/>
    <n v="1"/>
    <n v="2.7"/>
    <n v="594"/>
    <x v="5"/>
    <x v="0"/>
    <s v="NORMAL"/>
    <x v="2"/>
  </r>
  <r>
    <n v="1188"/>
    <d v="2026-09-23T00:00:00"/>
    <n v="6"/>
    <n v="2"/>
    <n v="1.5"/>
    <n v="330"/>
    <x v="5"/>
    <x v="1"/>
    <s v="NORMAL"/>
    <x v="2"/>
  </r>
  <r>
    <n v="1189"/>
    <d v="2026-09-23T00:00:00"/>
    <n v="7"/>
    <n v="1"/>
    <n v="7.7"/>
    <n v="732"/>
    <x v="6"/>
    <x v="0"/>
    <s v="NORMAL"/>
    <x v="2"/>
  </r>
  <r>
    <n v="1190"/>
    <d v="2026-09-23T00:00:00"/>
    <n v="7"/>
    <n v="2"/>
    <n v="7.9"/>
    <n v="750"/>
    <x v="6"/>
    <x v="1"/>
    <s v="NORMAL"/>
    <x v="2"/>
  </r>
  <r>
    <n v="1191"/>
    <d v="2026-09-24T00:00:00"/>
    <n v="1"/>
    <n v="1"/>
    <n v="30.3"/>
    <n v="1818"/>
    <x v="0"/>
    <x v="0"/>
    <s v="NORMAL"/>
    <x v="2"/>
  </r>
  <r>
    <n v="1192"/>
    <d v="2026-09-24T00:00:00"/>
    <n v="1"/>
    <n v="2"/>
    <n v="23"/>
    <n v="1380"/>
    <x v="0"/>
    <x v="1"/>
    <s v="NORMAL"/>
    <x v="2"/>
  </r>
  <r>
    <n v="1193"/>
    <d v="2026-09-24T00:00:00"/>
    <n v="2"/>
    <n v="1"/>
    <n v="26.8"/>
    <n v="2412"/>
    <x v="1"/>
    <x v="0"/>
    <s v="NORMAL"/>
    <x v="2"/>
  </r>
  <r>
    <n v="1194"/>
    <d v="2026-09-24T00:00:00"/>
    <n v="2"/>
    <n v="2"/>
    <n v="24"/>
    <n v="2160"/>
    <x v="1"/>
    <x v="1"/>
    <s v="NORMAL"/>
    <x v="2"/>
  </r>
  <r>
    <n v="1195"/>
    <d v="2026-09-24T00:00:00"/>
    <n v="3"/>
    <n v="1"/>
    <n v="11.7"/>
    <n v="936"/>
    <x v="2"/>
    <x v="0"/>
    <s v="NORMAL"/>
    <x v="2"/>
  </r>
  <r>
    <n v="1196"/>
    <d v="2026-09-24T00:00:00"/>
    <n v="3"/>
    <n v="2"/>
    <n v="16.600000000000001"/>
    <n v="1328"/>
    <x v="2"/>
    <x v="1"/>
    <s v="NORMAL"/>
    <x v="2"/>
  </r>
  <r>
    <n v="1197"/>
    <d v="2026-09-24T00:00:00"/>
    <n v="4"/>
    <n v="1"/>
    <n v="21.6"/>
    <n v="540"/>
    <x v="3"/>
    <x v="0"/>
    <s v="NORMAL"/>
    <x v="2"/>
  </r>
  <r>
    <n v="1198"/>
    <d v="2026-09-24T00:00:00"/>
    <n v="4"/>
    <n v="2"/>
    <n v="20.100000000000001"/>
    <n v="503"/>
    <x v="3"/>
    <x v="1"/>
    <s v="NORMAL"/>
    <x v="2"/>
  </r>
  <r>
    <n v="1199"/>
    <d v="2026-09-24T00:00:00"/>
    <n v="5"/>
    <n v="1"/>
    <n v="30.1"/>
    <n v="3311"/>
    <x v="4"/>
    <x v="0"/>
    <s v="NORMAL"/>
    <x v="2"/>
  </r>
  <r>
    <n v="1200"/>
    <d v="2026-09-24T00:00:00"/>
    <n v="5"/>
    <n v="2"/>
    <n v="24.2"/>
    <n v="2662"/>
    <x v="4"/>
    <x v="1"/>
    <s v="NORMAL"/>
    <x v="2"/>
  </r>
  <r>
    <n v="1201"/>
    <d v="2026-09-24T00:00:00"/>
    <n v="6"/>
    <n v="1"/>
    <n v="2.2000000000000002"/>
    <n v="484"/>
    <x v="5"/>
    <x v="0"/>
    <s v="NORMAL"/>
    <x v="2"/>
  </r>
  <r>
    <n v="1202"/>
    <d v="2026-09-24T00:00:00"/>
    <n v="6"/>
    <n v="2"/>
    <n v="1.6"/>
    <n v="352"/>
    <x v="5"/>
    <x v="1"/>
    <s v="NORMAL"/>
    <x v="2"/>
  </r>
  <r>
    <n v="1203"/>
    <d v="2026-09-24T00:00:00"/>
    <n v="7"/>
    <n v="1"/>
    <n v="7.9"/>
    <n v="750"/>
    <x v="6"/>
    <x v="0"/>
    <s v="NORMAL"/>
    <x v="2"/>
  </r>
  <r>
    <n v="1204"/>
    <d v="2026-09-24T00:00:00"/>
    <n v="7"/>
    <n v="2"/>
    <n v="7.8"/>
    <n v="741"/>
    <x v="6"/>
    <x v="1"/>
    <s v="NORMAL"/>
    <x v="2"/>
  </r>
  <r>
    <n v="1205"/>
    <d v="2026-09-25T00:00:00"/>
    <n v="1"/>
    <n v="1"/>
    <n v="27.6"/>
    <n v="1656"/>
    <x v="0"/>
    <x v="0"/>
    <s v="NORMAL"/>
    <x v="2"/>
  </r>
  <r>
    <n v="1206"/>
    <d v="2026-09-25T00:00:00"/>
    <n v="1"/>
    <n v="2"/>
    <n v="31.8"/>
    <n v="1908"/>
    <x v="0"/>
    <x v="1"/>
    <s v="NORMAL"/>
    <x v="2"/>
  </r>
  <r>
    <n v="1207"/>
    <d v="2026-09-25T00:00:00"/>
    <n v="2"/>
    <n v="1"/>
    <n v="23.5"/>
    <n v="2115"/>
    <x v="1"/>
    <x v="0"/>
    <s v="NORMAL"/>
    <x v="2"/>
  </r>
  <r>
    <n v="1208"/>
    <d v="2026-09-25T00:00:00"/>
    <n v="2"/>
    <n v="2"/>
    <n v="27"/>
    <n v="2430"/>
    <x v="1"/>
    <x v="1"/>
    <s v="NORMAL"/>
    <x v="2"/>
  </r>
  <r>
    <n v="1209"/>
    <d v="2026-09-25T00:00:00"/>
    <n v="3"/>
    <n v="1"/>
    <n v="15.6"/>
    <n v="1248"/>
    <x v="2"/>
    <x v="0"/>
    <s v="NORMAL"/>
    <x v="2"/>
  </r>
  <r>
    <n v="1210"/>
    <d v="2026-09-25T00:00:00"/>
    <n v="3"/>
    <n v="2"/>
    <n v="15.2"/>
    <n v="1216"/>
    <x v="2"/>
    <x v="1"/>
    <s v="NORMAL"/>
    <x v="2"/>
  </r>
  <r>
    <n v="1211"/>
    <d v="2026-09-25T00:00:00"/>
    <n v="4"/>
    <n v="1"/>
    <n v="35.4"/>
    <n v="885"/>
    <x v="3"/>
    <x v="0"/>
    <s v="NORMAL"/>
    <x v="2"/>
  </r>
  <r>
    <n v="1212"/>
    <d v="2026-09-25T00:00:00"/>
    <n v="4"/>
    <n v="2"/>
    <n v="31.2"/>
    <n v="780"/>
    <x v="3"/>
    <x v="1"/>
    <s v="NORMAL"/>
    <x v="2"/>
  </r>
  <r>
    <n v="1213"/>
    <d v="2026-09-25T00:00:00"/>
    <n v="5"/>
    <n v="1"/>
    <n v="32.299999999999997"/>
    <n v="3553"/>
    <x v="4"/>
    <x v="0"/>
    <s v="NORMAL"/>
    <x v="2"/>
  </r>
  <r>
    <n v="1214"/>
    <d v="2026-09-25T00:00:00"/>
    <n v="5"/>
    <n v="2"/>
    <n v="22.6"/>
    <n v="2486"/>
    <x v="4"/>
    <x v="1"/>
    <s v="NORMAL"/>
    <x v="2"/>
  </r>
  <r>
    <n v="1215"/>
    <d v="2026-09-25T00:00:00"/>
    <n v="6"/>
    <n v="1"/>
    <n v="1.9"/>
    <n v="418"/>
    <x v="5"/>
    <x v="0"/>
    <s v="NORMAL"/>
    <x v="2"/>
  </r>
  <r>
    <n v="1216"/>
    <d v="2026-09-25T00:00:00"/>
    <n v="6"/>
    <n v="2"/>
    <n v="1.1000000000000001"/>
    <n v="242"/>
    <x v="5"/>
    <x v="1"/>
    <s v="NORMAL"/>
    <x v="2"/>
  </r>
  <r>
    <n v="1217"/>
    <d v="2026-09-25T00:00:00"/>
    <n v="7"/>
    <n v="1"/>
    <n v="10.6"/>
    <n v="1007"/>
    <x v="6"/>
    <x v="0"/>
    <s v="NORMAL"/>
    <x v="2"/>
  </r>
  <r>
    <n v="1218"/>
    <d v="2026-09-25T00:00:00"/>
    <n v="7"/>
    <n v="2"/>
    <n v="7.8"/>
    <n v="741"/>
    <x v="6"/>
    <x v="1"/>
    <s v="NORMAL"/>
    <x v="2"/>
  </r>
  <r>
    <n v="1219"/>
    <d v="2026-09-26T00:00:00"/>
    <n v="1"/>
    <n v="1"/>
    <n v="43.2"/>
    <n v="2592"/>
    <x v="0"/>
    <x v="0"/>
    <s v="NORMAL"/>
    <x v="2"/>
  </r>
  <r>
    <n v="1220"/>
    <d v="2026-09-26T00:00:00"/>
    <n v="1"/>
    <n v="2"/>
    <n v="39.799999999999997"/>
    <n v="2388"/>
    <x v="0"/>
    <x v="1"/>
    <s v="NORMAL"/>
    <x v="2"/>
  </r>
  <r>
    <n v="1221"/>
    <d v="2026-09-26T00:00:00"/>
    <n v="2"/>
    <n v="1"/>
    <n v="23.7"/>
    <n v="2133"/>
    <x v="1"/>
    <x v="0"/>
    <s v="NORMAL"/>
    <x v="2"/>
  </r>
  <r>
    <n v="1222"/>
    <d v="2026-09-26T00:00:00"/>
    <n v="2"/>
    <n v="2"/>
    <n v="23.3"/>
    <n v="2097"/>
    <x v="1"/>
    <x v="1"/>
    <s v="NORMAL"/>
    <x v="2"/>
  </r>
  <r>
    <n v="1223"/>
    <d v="2026-09-26T00:00:00"/>
    <n v="3"/>
    <n v="1"/>
    <n v="16.3"/>
    <n v="1304"/>
    <x v="2"/>
    <x v="0"/>
    <s v="NORMAL"/>
    <x v="2"/>
  </r>
  <r>
    <n v="1224"/>
    <d v="2026-09-26T00:00:00"/>
    <n v="3"/>
    <n v="2"/>
    <n v="14.1"/>
    <n v="1128"/>
    <x v="2"/>
    <x v="1"/>
    <s v="NORMAL"/>
    <x v="2"/>
  </r>
  <r>
    <n v="1225"/>
    <d v="2026-09-26T00:00:00"/>
    <n v="4"/>
    <n v="1"/>
    <n v="38.799999999999997"/>
    <n v="970"/>
    <x v="3"/>
    <x v="0"/>
    <s v="NORMAL"/>
    <x v="2"/>
  </r>
  <r>
    <n v="1226"/>
    <d v="2026-09-26T00:00:00"/>
    <n v="4"/>
    <n v="2"/>
    <n v="26"/>
    <n v="650"/>
    <x v="3"/>
    <x v="1"/>
    <s v="NORMAL"/>
    <x v="2"/>
  </r>
  <r>
    <n v="1227"/>
    <d v="2026-09-26T00:00:00"/>
    <n v="5"/>
    <n v="1"/>
    <n v="35.299999999999997"/>
    <n v="3883"/>
    <x v="4"/>
    <x v="0"/>
    <s v="NORMAL"/>
    <x v="2"/>
  </r>
  <r>
    <n v="1228"/>
    <d v="2026-09-26T00:00:00"/>
    <n v="5"/>
    <n v="2"/>
    <n v="20.9"/>
    <n v="2299"/>
    <x v="4"/>
    <x v="1"/>
    <s v="NORMAL"/>
    <x v="2"/>
  </r>
  <r>
    <n v="1229"/>
    <d v="2026-09-26T00:00:00"/>
    <n v="6"/>
    <n v="1"/>
    <n v="1.4"/>
    <n v="308"/>
    <x v="5"/>
    <x v="0"/>
    <s v="NORMAL"/>
    <x v="2"/>
  </r>
  <r>
    <n v="1230"/>
    <d v="2026-09-26T00:00:00"/>
    <n v="6"/>
    <n v="2"/>
    <n v="2.6"/>
    <n v="572"/>
    <x v="5"/>
    <x v="1"/>
    <s v="NORMAL"/>
    <x v="2"/>
  </r>
  <r>
    <n v="1231"/>
    <d v="2026-09-26T00:00:00"/>
    <n v="7"/>
    <n v="1"/>
    <n v="9.1999999999999993"/>
    <n v="874"/>
    <x v="6"/>
    <x v="0"/>
    <s v="NORMAL"/>
    <x v="2"/>
  </r>
  <r>
    <n v="1232"/>
    <d v="2026-09-26T00:00:00"/>
    <n v="7"/>
    <n v="2"/>
    <n v="10"/>
    <n v="950"/>
    <x v="6"/>
    <x v="1"/>
    <s v="NORMAL"/>
    <x v="2"/>
  </r>
  <r>
    <n v="1233"/>
    <d v="2026-09-27T00:00:00"/>
    <n v="1"/>
    <n v="1"/>
    <n v="28.7"/>
    <n v="1722"/>
    <x v="0"/>
    <x v="0"/>
    <s v="NORMAL"/>
    <x v="2"/>
  </r>
  <r>
    <n v="1234"/>
    <d v="2026-09-27T00:00:00"/>
    <n v="1"/>
    <n v="2"/>
    <n v="25.9"/>
    <n v="1554"/>
    <x v="0"/>
    <x v="1"/>
    <s v="NORMAL"/>
    <x v="2"/>
  </r>
  <r>
    <n v="1235"/>
    <d v="2026-09-27T00:00:00"/>
    <n v="2"/>
    <n v="1"/>
    <n v="29.9"/>
    <n v="2691"/>
    <x v="1"/>
    <x v="0"/>
    <s v="NORMAL"/>
    <x v="2"/>
  </r>
  <r>
    <n v="1236"/>
    <d v="2026-09-27T00:00:00"/>
    <n v="2"/>
    <n v="2"/>
    <n v="26.9"/>
    <n v="2421"/>
    <x v="1"/>
    <x v="1"/>
    <s v="NORMAL"/>
    <x v="2"/>
  </r>
  <r>
    <n v="1237"/>
    <d v="2026-09-27T00:00:00"/>
    <n v="3"/>
    <n v="1"/>
    <n v="20.9"/>
    <n v="1672"/>
    <x v="2"/>
    <x v="0"/>
    <s v="NORMAL"/>
    <x v="2"/>
  </r>
  <r>
    <n v="1238"/>
    <d v="2026-09-27T00:00:00"/>
    <n v="3"/>
    <n v="2"/>
    <n v="17.2"/>
    <n v="1376"/>
    <x v="2"/>
    <x v="1"/>
    <s v="NORMAL"/>
    <x v="2"/>
  </r>
  <r>
    <n v="1239"/>
    <d v="2026-09-27T00:00:00"/>
    <n v="4"/>
    <n v="1"/>
    <n v="35.5"/>
    <n v="888"/>
    <x v="3"/>
    <x v="0"/>
    <s v="NORMAL"/>
    <x v="2"/>
  </r>
  <r>
    <n v="1240"/>
    <d v="2026-09-27T00:00:00"/>
    <n v="4"/>
    <n v="2"/>
    <n v="38.9"/>
    <n v="972"/>
    <x v="3"/>
    <x v="1"/>
    <s v="NORMAL"/>
    <x v="2"/>
  </r>
  <r>
    <n v="1241"/>
    <d v="2026-09-27T00:00:00"/>
    <n v="5"/>
    <n v="1"/>
    <n v="42.8"/>
    <n v="4708"/>
    <x v="4"/>
    <x v="0"/>
    <s v="NORMAL"/>
    <x v="2"/>
  </r>
  <r>
    <n v="1242"/>
    <d v="2026-09-27T00:00:00"/>
    <n v="5"/>
    <n v="2"/>
    <n v="34.1"/>
    <n v="3751"/>
    <x v="4"/>
    <x v="1"/>
    <s v="NORMAL"/>
    <x v="2"/>
  </r>
  <r>
    <n v="1243"/>
    <d v="2026-09-27T00:00:00"/>
    <n v="6"/>
    <n v="1"/>
    <n v="2.2999999999999998"/>
    <n v="506"/>
    <x v="5"/>
    <x v="0"/>
    <s v="NORMAL"/>
    <x v="2"/>
  </r>
  <r>
    <n v="1244"/>
    <d v="2026-09-27T00:00:00"/>
    <n v="6"/>
    <n v="2"/>
    <n v="2.7"/>
    <n v="594"/>
    <x v="5"/>
    <x v="1"/>
    <s v="NORMAL"/>
    <x v="2"/>
  </r>
  <r>
    <n v="1245"/>
    <d v="2026-09-27T00:00:00"/>
    <n v="7"/>
    <n v="1"/>
    <n v="16.899999999999999"/>
    <n v="1605"/>
    <x v="6"/>
    <x v="0"/>
    <s v="NORMAL"/>
    <x v="2"/>
  </r>
  <r>
    <n v="1246"/>
    <d v="2026-09-27T00:00:00"/>
    <n v="7"/>
    <n v="2"/>
    <n v="12.7"/>
    <n v="1206"/>
    <x v="6"/>
    <x v="1"/>
    <s v="NORMAL"/>
    <x v="2"/>
  </r>
  <r>
    <n v="1247"/>
    <d v="2026-09-28T00:00:00"/>
    <n v="1"/>
    <n v="1"/>
    <n v="43.3"/>
    <n v="2598"/>
    <x v="0"/>
    <x v="0"/>
    <s v="NORMAL"/>
    <x v="2"/>
  </r>
  <r>
    <n v="1248"/>
    <d v="2026-09-28T00:00:00"/>
    <n v="1"/>
    <n v="2"/>
    <n v="34.1"/>
    <n v="2046"/>
    <x v="0"/>
    <x v="1"/>
    <s v="NORMAL"/>
    <x v="2"/>
  </r>
  <r>
    <n v="1249"/>
    <d v="2026-09-28T00:00:00"/>
    <n v="2"/>
    <n v="1"/>
    <n v="30.4"/>
    <n v="2736"/>
    <x v="1"/>
    <x v="0"/>
    <s v="NORMAL"/>
    <x v="2"/>
  </r>
  <r>
    <n v="1250"/>
    <d v="2026-09-28T00:00:00"/>
    <n v="2"/>
    <n v="2"/>
    <n v="18.3"/>
    <n v="1647"/>
    <x v="1"/>
    <x v="1"/>
    <s v="NORMAL"/>
    <x v="2"/>
  </r>
  <r>
    <n v="1251"/>
    <d v="2026-09-28T00:00:00"/>
    <n v="3"/>
    <n v="1"/>
    <n v="10.9"/>
    <n v="872"/>
    <x v="2"/>
    <x v="0"/>
    <s v="NORMAL"/>
    <x v="2"/>
  </r>
  <r>
    <n v="1252"/>
    <d v="2026-09-28T00:00:00"/>
    <n v="3"/>
    <n v="2"/>
    <n v="12.5"/>
    <n v="1000"/>
    <x v="2"/>
    <x v="1"/>
    <s v="NORMAL"/>
    <x v="2"/>
  </r>
  <r>
    <n v="1253"/>
    <d v="2026-09-28T00:00:00"/>
    <n v="4"/>
    <n v="1"/>
    <n v="20"/>
    <n v="500"/>
    <x v="3"/>
    <x v="0"/>
    <s v="NORMAL"/>
    <x v="2"/>
  </r>
  <r>
    <n v="1254"/>
    <d v="2026-09-28T00:00:00"/>
    <n v="4"/>
    <n v="2"/>
    <n v="23.8"/>
    <n v="595"/>
    <x v="3"/>
    <x v="1"/>
    <s v="NORMAL"/>
    <x v="2"/>
  </r>
  <r>
    <n v="1255"/>
    <d v="2026-09-28T00:00:00"/>
    <n v="5"/>
    <n v="1"/>
    <n v="32.9"/>
    <n v="3619"/>
    <x v="4"/>
    <x v="0"/>
    <s v="NORMAL"/>
    <x v="2"/>
  </r>
  <r>
    <n v="1256"/>
    <d v="2026-09-28T00:00:00"/>
    <n v="5"/>
    <n v="2"/>
    <n v="21.8"/>
    <n v="2398"/>
    <x v="4"/>
    <x v="1"/>
    <s v="NORMAL"/>
    <x v="2"/>
  </r>
  <r>
    <n v="1257"/>
    <d v="2026-09-28T00:00:00"/>
    <n v="6"/>
    <n v="1"/>
    <n v="2.2000000000000002"/>
    <n v="484"/>
    <x v="5"/>
    <x v="0"/>
    <s v="NORMAL"/>
    <x v="2"/>
  </r>
  <r>
    <n v="1258"/>
    <d v="2026-09-28T00:00:00"/>
    <n v="6"/>
    <n v="2"/>
    <n v="1.3"/>
    <n v="286"/>
    <x v="5"/>
    <x v="1"/>
    <s v="NORMAL"/>
    <x v="2"/>
  </r>
  <r>
    <n v="1259"/>
    <d v="2026-09-28T00:00:00"/>
    <n v="7"/>
    <n v="1"/>
    <n v="9"/>
    <n v="855"/>
    <x v="6"/>
    <x v="0"/>
    <s v="NORMAL"/>
    <x v="2"/>
  </r>
  <r>
    <n v="1260"/>
    <d v="2026-09-28T00:00:00"/>
    <n v="7"/>
    <n v="2"/>
    <n v="10.8"/>
    <n v="1026"/>
    <x v="6"/>
    <x v="1"/>
    <s v="NORMAL"/>
    <x v="2"/>
  </r>
  <r>
    <n v="1261"/>
    <d v="2026-09-29T00:00:00"/>
    <n v="1"/>
    <n v="1"/>
    <n v="33.299999999999997"/>
    <n v="1998"/>
    <x v="0"/>
    <x v="0"/>
    <s v="NORMAL"/>
    <x v="2"/>
  </r>
  <r>
    <n v="1262"/>
    <d v="2026-09-29T00:00:00"/>
    <n v="1"/>
    <n v="2"/>
    <n v="30.5"/>
    <n v="1830"/>
    <x v="0"/>
    <x v="1"/>
    <s v="NORMAL"/>
    <x v="2"/>
  </r>
  <r>
    <n v="1263"/>
    <d v="2026-09-29T00:00:00"/>
    <n v="2"/>
    <n v="1"/>
    <n v="34.9"/>
    <n v="3141"/>
    <x v="1"/>
    <x v="0"/>
    <s v="NORMAL"/>
    <x v="2"/>
  </r>
  <r>
    <n v="1264"/>
    <d v="2026-09-29T00:00:00"/>
    <n v="2"/>
    <n v="2"/>
    <n v="29.5"/>
    <n v="2655"/>
    <x v="1"/>
    <x v="1"/>
    <s v="NORMAL"/>
    <x v="2"/>
  </r>
  <r>
    <n v="1265"/>
    <d v="2026-09-29T00:00:00"/>
    <n v="3"/>
    <n v="1"/>
    <n v="11.5"/>
    <n v="920"/>
    <x v="2"/>
    <x v="0"/>
    <s v="NORMAL"/>
    <x v="2"/>
  </r>
  <r>
    <n v="1266"/>
    <d v="2026-09-29T00:00:00"/>
    <n v="3"/>
    <n v="2"/>
    <n v="15.9"/>
    <n v="1272"/>
    <x v="2"/>
    <x v="1"/>
    <s v="NORMAL"/>
    <x v="2"/>
  </r>
  <r>
    <n v="1267"/>
    <d v="2026-09-29T00:00:00"/>
    <n v="4"/>
    <n v="1"/>
    <n v="26.3"/>
    <n v="658"/>
    <x v="3"/>
    <x v="0"/>
    <s v="NORMAL"/>
    <x v="2"/>
  </r>
  <r>
    <n v="1268"/>
    <d v="2026-09-29T00:00:00"/>
    <n v="4"/>
    <n v="2"/>
    <n v="26.9"/>
    <n v="672"/>
    <x v="3"/>
    <x v="1"/>
    <s v="NORMAL"/>
    <x v="2"/>
  </r>
  <r>
    <n v="1269"/>
    <d v="2026-09-29T00:00:00"/>
    <n v="5"/>
    <n v="1"/>
    <n v="28.1"/>
    <n v="3091"/>
    <x v="4"/>
    <x v="0"/>
    <s v="NORMAL"/>
    <x v="2"/>
  </r>
  <r>
    <n v="1270"/>
    <d v="2026-09-29T00:00:00"/>
    <n v="5"/>
    <n v="2"/>
    <n v="30.6"/>
    <n v="3366"/>
    <x v="4"/>
    <x v="1"/>
    <s v="NORMAL"/>
    <x v="2"/>
  </r>
  <r>
    <n v="1271"/>
    <d v="2026-09-29T00:00:00"/>
    <n v="6"/>
    <n v="1"/>
    <n v="1.5"/>
    <n v="330"/>
    <x v="5"/>
    <x v="0"/>
    <s v="NORMAL"/>
    <x v="2"/>
  </r>
  <r>
    <n v="1272"/>
    <d v="2026-09-29T00:00:00"/>
    <n v="6"/>
    <n v="2"/>
    <n v="2"/>
    <n v="440"/>
    <x v="5"/>
    <x v="1"/>
    <s v="NORMAL"/>
    <x v="2"/>
  </r>
  <r>
    <n v="1273"/>
    <d v="2026-09-29T00:00:00"/>
    <n v="7"/>
    <n v="1"/>
    <n v="11"/>
    <n v="1045"/>
    <x v="6"/>
    <x v="0"/>
    <s v="NORMAL"/>
    <x v="2"/>
  </r>
  <r>
    <n v="1274"/>
    <d v="2026-09-29T00:00:00"/>
    <n v="7"/>
    <n v="2"/>
    <n v="10.5"/>
    <n v="998"/>
    <x v="6"/>
    <x v="1"/>
    <s v="NORMAL"/>
    <x v="2"/>
  </r>
  <r>
    <n v="1275"/>
    <d v="2026-09-30T00:00:00"/>
    <n v="1"/>
    <n v="1"/>
    <n v="30.7"/>
    <n v="1842"/>
    <x v="0"/>
    <x v="0"/>
    <s v="NORMAL"/>
    <x v="2"/>
  </r>
  <r>
    <n v="1276"/>
    <d v="2026-09-30T00:00:00"/>
    <n v="1"/>
    <n v="2"/>
    <n v="34.6"/>
    <n v="2076"/>
    <x v="0"/>
    <x v="1"/>
    <s v="NORMAL"/>
    <x v="2"/>
  </r>
  <r>
    <n v="1277"/>
    <d v="2026-09-30T00:00:00"/>
    <n v="2"/>
    <n v="1"/>
    <n v="22.3"/>
    <n v="2007"/>
    <x v="1"/>
    <x v="0"/>
    <s v="NORMAL"/>
    <x v="2"/>
  </r>
  <r>
    <n v="1278"/>
    <d v="2026-09-30T00:00:00"/>
    <n v="2"/>
    <n v="2"/>
    <n v="28.8"/>
    <n v="2592"/>
    <x v="1"/>
    <x v="1"/>
    <s v="NORMAL"/>
    <x v="2"/>
  </r>
  <r>
    <n v="1279"/>
    <d v="2026-09-30T00:00:00"/>
    <n v="3"/>
    <n v="1"/>
    <n v="15"/>
    <n v="1200"/>
    <x v="2"/>
    <x v="0"/>
    <s v="NORMAL"/>
    <x v="2"/>
  </r>
  <r>
    <n v="1280"/>
    <d v="2026-09-30T00:00:00"/>
    <n v="3"/>
    <n v="2"/>
    <n v="9.1"/>
    <n v="728"/>
    <x v="2"/>
    <x v="1"/>
    <s v="NORMAL"/>
    <x v="2"/>
  </r>
  <r>
    <n v="1281"/>
    <d v="2026-09-30T00:00:00"/>
    <n v="4"/>
    <n v="1"/>
    <n v="32.4"/>
    <n v="810"/>
    <x v="3"/>
    <x v="0"/>
    <s v="NORMAL"/>
    <x v="2"/>
  </r>
  <r>
    <n v="1282"/>
    <d v="2026-09-30T00:00:00"/>
    <n v="4"/>
    <n v="2"/>
    <n v="28"/>
    <n v="700"/>
    <x v="3"/>
    <x v="1"/>
    <s v="NORMAL"/>
    <x v="2"/>
  </r>
  <r>
    <n v="1283"/>
    <d v="2026-09-30T00:00:00"/>
    <n v="5"/>
    <n v="1"/>
    <n v="26"/>
    <n v="2860"/>
    <x v="4"/>
    <x v="0"/>
    <s v="NORMAL"/>
    <x v="2"/>
  </r>
  <r>
    <n v="1284"/>
    <d v="2026-09-30T00:00:00"/>
    <n v="5"/>
    <n v="2"/>
    <n v="21.5"/>
    <n v="2365"/>
    <x v="4"/>
    <x v="1"/>
    <s v="NORMAL"/>
    <x v="2"/>
  </r>
  <r>
    <n v="1285"/>
    <d v="2026-09-30T00:00:00"/>
    <n v="6"/>
    <n v="1"/>
    <n v="1.9"/>
    <n v="418"/>
    <x v="5"/>
    <x v="0"/>
    <s v="NORMAL"/>
    <x v="2"/>
  </r>
  <r>
    <n v="1286"/>
    <d v="2026-09-30T00:00:00"/>
    <n v="6"/>
    <n v="2"/>
    <n v="1.3"/>
    <n v="286"/>
    <x v="5"/>
    <x v="1"/>
    <s v="NORMAL"/>
    <x v="2"/>
  </r>
  <r>
    <n v="1287"/>
    <d v="2026-09-30T00:00:00"/>
    <n v="7"/>
    <n v="1"/>
    <n v="13.4"/>
    <n v="1273"/>
    <x v="6"/>
    <x v="0"/>
    <s v="NORMAL"/>
    <x v="2"/>
  </r>
  <r>
    <n v="1288"/>
    <d v="2026-09-30T00:00:00"/>
    <n v="7"/>
    <n v="2"/>
    <n v="7"/>
    <n v="665"/>
    <x v="6"/>
    <x v="1"/>
    <s v="NORMAL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1">
  <location ref="A3:E29" firstHeaderRow="1" firstDataRow="2" firstDataCol="2"/>
  <pivotFields count="10">
    <pivotField compact="0" outline="0" showAll="0"/>
    <pivotField compact="0" outline="0" numFmtId="176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sortType="ascending" outline="0" showAll="0">
      <items count="8">
        <item x="0"/>
        <item x="1"/>
        <item x="4"/>
        <item x="2"/>
        <item x="6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sortType="descending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2">
    <field x="9"/>
    <field x="6"/>
  </rowFields>
  <rowItems count="25">
    <i>
      <x/>
      <x v="2"/>
    </i>
    <i r="1">
      <x v="3"/>
    </i>
    <i r="1">
      <x/>
    </i>
    <i r="1">
      <x v="6"/>
    </i>
    <i r="1">
      <x v="5"/>
    </i>
    <i r="1">
      <x v="4"/>
    </i>
    <i r="1">
      <x v="1"/>
    </i>
    <i t="default">
      <x/>
    </i>
    <i>
      <x v="1"/>
      <x v="3"/>
    </i>
    <i r="1">
      <x v="5"/>
    </i>
    <i r="1">
      <x/>
    </i>
    <i r="1">
      <x v="2"/>
    </i>
    <i r="1">
      <x v="6"/>
    </i>
    <i r="1">
      <x v="1"/>
    </i>
    <i r="1">
      <x v="4"/>
    </i>
    <i t="default">
      <x v="1"/>
    </i>
    <i>
      <x v="2"/>
      <x v="5"/>
    </i>
    <i r="1">
      <x v="6"/>
    </i>
    <i r="1">
      <x v="4"/>
    </i>
    <i r="1">
      <x v="3"/>
    </i>
    <i r="1">
      <x/>
    </i>
    <i r="1">
      <x v="1"/>
    </i>
    <i r="1">
      <x v="2"/>
    </i>
    <i t="default"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products" displayName="products" ref="A1:C8">
  <autoFilter xmlns:etc="http://www.wps.cn/officeDocument/2017/etCustomData" ref="A1:C8" etc:filterBottomFollowUsedRange="0"/>
  <tableColumns count="3">
    <tableColumn id="1" name="product_id"/>
    <tableColumn id="2" name="name"/>
    <tableColumn id="3" name="price_per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ales" displayName="sales" ref="A1:J1289">
  <autoFilter xmlns:etc="http://www.wps.cn/officeDocument/2017/etCustomData" ref="A1:J1289" etc:filterBottomFollowUsedRange="0"/>
  <tableColumns count="10">
    <tableColumn id="1" name="sale_id"/>
    <tableColumn id="2" name="sale_date"/>
    <tableColumn id="3" name="product_id"/>
    <tableColumn id="4" name="store_id"/>
    <tableColumn id="5" name="quantity_kg"/>
    <tableColumn id="6" name="revenue"/>
    <tableColumn id="7" name="fruit" dataDxfId="0">
      <calculatedColumnFormula>_xlfn.XLOOKUP(C2,products!A:A,products!B:B)</calculatedColumnFormula>
    </tableColumn>
    <tableColumn id="8" name="city" dataDxfId="1">
      <calculatedColumnFormula>_xlfn.XLOOKUP(D2,stores!A:A,stores!B:B)</calculatedColumnFormula>
    </tableColumn>
    <tableColumn id="9" name="sale_size" dataDxfId="2">
      <calculatedColumnFormula>IF(E2&gt;50,"BIG","NORMAL")</calculatedColumnFormula>
    </tableColumn>
    <tableColumn id="10" name="month" dataDxfId="3">
      <calculatedColumnFormula>TEXT(B2,"m")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tores" displayName="stores" ref="A1:B3">
  <autoFilter xmlns:etc="http://www.wps.cn/officeDocument/2017/etCustomData" ref="A1:B3" etc:filterBottomFollowUsedRange="0"/>
  <tableColumns count="2">
    <tableColumn id="1" name="store_id"/>
    <tableColumn id="2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G1" sqref="G1"/>
    </sheetView>
  </sheetViews>
  <sheetFormatPr defaultColWidth="9" defaultRowHeight="14.4" outlineLevelRow="7" outlineLevelCol="2"/>
  <cols>
    <col min="1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>
        <v>60</v>
      </c>
    </row>
    <row r="3" spans="1:3">
      <c r="A3" s="2">
        <v>2</v>
      </c>
      <c r="B3" s="2" t="s">
        <v>4</v>
      </c>
      <c r="C3" s="2">
        <v>90</v>
      </c>
    </row>
    <row r="4" spans="1:3">
      <c r="A4" s="2">
        <v>3</v>
      </c>
      <c r="B4" s="2" t="s">
        <v>5</v>
      </c>
      <c r="C4" s="2">
        <v>80</v>
      </c>
    </row>
    <row r="5" spans="1:3">
      <c r="A5" s="2">
        <v>4</v>
      </c>
      <c r="B5" s="2" t="s">
        <v>6</v>
      </c>
      <c r="C5" s="2">
        <v>25</v>
      </c>
    </row>
    <row r="6" spans="1:3">
      <c r="A6" s="2">
        <v>5</v>
      </c>
      <c r="B6" s="2" t="s">
        <v>7</v>
      </c>
      <c r="C6" s="2">
        <v>110</v>
      </c>
    </row>
    <row r="7" spans="1:3">
      <c r="A7" s="2">
        <v>6</v>
      </c>
      <c r="B7" s="2" t="s">
        <v>8</v>
      </c>
      <c r="C7" s="2">
        <v>220</v>
      </c>
    </row>
    <row r="8" spans="1:3">
      <c r="A8" s="2">
        <v>7</v>
      </c>
      <c r="B8" s="2" t="s">
        <v>9</v>
      </c>
      <c r="C8" s="2">
        <v>95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9"/>
  <sheetViews>
    <sheetView tabSelected="1" workbookViewId="0">
      <selection activeCell="D7" sqref="D7"/>
    </sheetView>
  </sheetViews>
  <sheetFormatPr defaultColWidth="9" defaultRowHeight="14.4" outlineLevelCol="4"/>
  <cols>
    <col min="1" max="1" width="15.287037037037" customWidth="1"/>
    <col min="2" max="2" width="12.1388888888889" customWidth="1"/>
    <col min="3" max="4" width="8.71296296296296" customWidth="1"/>
    <col min="5" max="5" width="11.712962962963" customWidth="1"/>
  </cols>
  <sheetData>
    <row r="3" spans="1:5">
      <c r="A3" t="s">
        <v>10</v>
      </c>
      <c r="C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7</v>
      </c>
      <c r="C5" s="4">
        <v>25828</v>
      </c>
      <c r="D5" s="4">
        <v>18557</v>
      </c>
      <c r="E5" s="4">
        <v>44385</v>
      </c>
    </row>
    <row r="6" spans="1:5">
      <c r="B6" t="s">
        <v>5</v>
      </c>
      <c r="C6" s="4">
        <v>37368</v>
      </c>
      <c r="D6" s="4">
        <v>26712</v>
      </c>
      <c r="E6" s="4">
        <v>64080</v>
      </c>
    </row>
    <row r="7" spans="1:5">
      <c r="B7" t="s">
        <v>3</v>
      </c>
      <c r="C7" s="4">
        <v>51666</v>
      </c>
      <c r="D7" s="4">
        <v>36354</v>
      </c>
      <c r="E7" s="4">
        <v>88020</v>
      </c>
    </row>
    <row r="8" spans="1:5">
      <c r="B8" t="s">
        <v>6</v>
      </c>
      <c r="C8" s="4">
        <v>77596</v>
      </c>
      <c r="D8" s="4">
        <v>57801</v>
      </c>
      <c r="E8" s="4">
        <v>135397</v>
      </c>
    </row>
    <row r="9" spans="1:5">
      <c r="B9" t="s">
        <v>8</v>
      </c>
      <c r="C9" s="4">
        <v>85866</v>
      </c>
      <c r="D9" s="4">
        <v>60786</v>
      </c>
      <c r="E9" s="4">
        <v>146652</v>
      </c>
    </row>
    <row r="10" spans="1:5">
      <c r="B10" t="s">
        <v>9</v>
      </c>
      <c r="C10" s="4">
        <v>95113</v>
      </c>
      <c r="D10" s="4">
        <v>67326</v>
      </c>
      <c r="E10" s="4">
        <v>162439</v>
      </c>
    </row>
    <row r="11" spans="1:5">
      <c r="B11" t="s">
        <v>4</v>
      </c>
      <c r="C11" s="4">
        <v>107010</v>
      </c>
      <c r="D11" s="4">
        <v>79272</v>
      </c>
      <c r="E11" s="4">
        <v>186282</v>
      </c>
    </row>
    <row r="12" spans="1:5">
      <c r="A12" t="s">
        <v>18</v>
      </c>
      <c r="C12" s="4">
        <v>480447</v>
      </c>
      <c r="D12" s="4">
        <v>346808</v>
      </c>
      <c r="E12" s="4">
        <v>827255</v>
      </c>
    </row>
    <row r="13" spans="1:5">
      <c r="A13" t="s">
        <v>19</v>
      </c>
      <c r="B13" t="s">
        <v>5</v>
      </c>
      <c r="C13" s="4">
        <v>35072</v>
      </c>
      <c r="D13" s="4">
        <v>23296</v>
      </c>
      <c r="E13" s="4">
        <v>58368</v>
      </c>
    </row>
    <row r="14" spans="1:5">
      <c r="B14" t="s">
        <v>8</v>
      </c>
      <c r="C14" s="4">
        <v>42548</v>
      </c>
      <c r="D14" s="4">
        <v>30074</v>
      </c>
      <c r="E14" s="4">
        <v>72622</v>
      </c>
    </row>
    <row r="15" spans="1:5">
      <c r="B15" t="s">
        <v>3</v>
      </c>
      <c r="C15" s="4">
        <v>61146</v>
      </c>
      <c r="D15" s="4">
        <v>40680</v>
      </c>
      <c r="E15" s="4">
        <v>101826</v>
      </c>
    </row>
    <row r="16" spans="1:5">
      <c r="B16" t="s">
        <v>7</v>
      </c>
      <c r="C16" s="4">
        <v>71555</v>
      </c>
      <c r="D16" s="4">
        <v>53075</v>
      </c>
      <c r="E16" s="4">
        <v>124630</v>
      </c>
    </row>
    <row r="17" spans="1:5">
      <c r="B17" t="s">
        <v>6</v>
      </c>
      <c r="C17" s="4">
        <v>100671</v>
      </c>
      <c r="D17" s="4">
        <v>66817</v>
      </c>
      <c r="E17" s="4">
        <v>167488</v>
      </c>
    </row>
    <row r="18" spans="1:5">
      <c r="B18" t="s">
        <v>4</v>
      </c>
      <c r="C18" s="4">
        <v>105948</v>
      </c>
      <c r="D18" s="4">
        <v>70614</v>
      </c>
      <c r="E18" s="4">
        <v>176562</v>
      </c>
    </row>
    <row r="19" spans="1:5">
      <c r="B19" t="s">
        <v>9</v>
      </c>
      <c r="C19" s="4">
        <v>126623</v>
      </c>
      <c r="D19" s="4">
        <v>79289</v>
      </c>
      <c r="E19" s="4">
        <v>205912</v>
      </c>
    </row>
    <row r="20" spans="1:5">
      <c r="A20" t="s">
        <v>20</v>
      </c>
      <c r="C20" s="4">
        <v>543563</v>
      </c>
      <c r="D20" s="4">
        <v>363845</v>
      </c>
      <c r="E20" s="4">
        <v>907408</v>
      </c>
    </row>
    <row r="21" spans="1:5">
      <c r="A21" t="s">
        <v>21</v>
      </c>
      <c r="B21" t="s">
        <v>8</v>
      </c>
      <c r="C21" s="4">
        <v>12606</v>
      </c>
      <c r="D21" s="4">
        <v>13662</v>
      </c>
      <c r="E21" s="4">
        <v>26268</v>
      </c>
    </row>
    <row r="22" spans="1:5">
      <c r="B22" t="s">
        <v>6</v>
      </c>
      <c r="C22" s="4">
        <v>20826</v>
      </c>
      <c r="D22" s="4">
        <v>23972</v>
      </c>
      <c r="E22" s="4">
        <v>44798</v>
      </c>
    </row>
    <row r="23" spans="1:5">
      <c r="B23" t="s">
        <v>9</v>
      </c>
      <c r="C23" s="4">
        <v>26245</v>
      </c>
      <c r="D23" s="4">
        <v>30275</v>
      </c>
      <c r="E23" s="4">
        <v>56520</v>
      </c>
    </row>
    <row r="24" spans="1:5">
      <c r="B24" t="s">
        <v>5</v>
      </c>
      <c r="C24" s="4">
        <v>31808</v>
      </c>
      <c r="D24" s="4">
        <v>36360</v>
      </c>
      <c r="E24" s="4">
        <v>68168</v>
      </c>
    </row>
    <row r="25" spans="1:5">
      <c r="B25" t="s">
        <v>3</v>
      </c>
      <c r="C25" s="4">
        <v>52314</v>
      </c>
      <c r="D25" s="4">
        <v>65388</v>
      </c>
      <c r="E25" s="4">
        <v>117702</v>
      </c>
    </row>
    <row r="26" spans="1:5">
      <c r="B26" t="s">
        <v>4</v>
      </c>
      <c r="C26" s="4">
        <v>67779</v>
      </c>
      <c r="D26" s="4">
        <v>71451</v>
      </c>
      <c r="E26" s="4">
        <v>139230</v>
      </c>
    </row>
    <row r="27" spans="1:5">
      <c r="B27" t="s">
        <v>7</v>
      </c>
      <c r="C27" s="4">
        <v>89210</v>
      </c>
      <c r="D27" s="4">
        <v>97207</v>
      </c>
      <c r="E27" s="4">
        <v>186417</v>
      </c>
    </row>
    <row r="28" spans="1:5">
      <c r="A28" t="s">
        <v>22</v>
      </c>
      <c r="C28" s="4">
        <v>300788</v>
      </c>
      <c r="D28" s="4">
        <v>338315</v>
      </c>
      <c r="E28" s="4">
        <v>639103</v>
      </c>
    </row>
    <row r="29" spans="1:5">
      <c r="A29" t="s">
        <v>16</v>
      </c>
      <c r="C29" s="4">
        <v>1324798</v>
      </c>
      <c r="D29" s="4">
        <v>1048968</v>
      </c>
      <c r="E29" s="4">
        <v>2373766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89"/>
  <sheetViews>
    <sheetView workbookViewId="0">
      <selection activeCell="J3" sqref="J3"/>
    </sheetView>
  </sheetViews>
  <sheetFormatPr defaultColWidth="9" defaultRowHeight="14.4"/>
  <cols>
    <col min="1" max="6" width="15" customWidth="1"/>
    <col min="7" max="7" width="12.712962962963" customWidth="1"/>
    <col min="8" max="8" width="13.4259259259259" customWidth="1"/>
  </cols>
  <sheetData>
    <row r="1" spans="1:10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27</v>
      </c>
      <c r="G1" t="s">
        <v>13</v>
      </c>
      <c r="H1" t="s">
        <v>11</v>
      </c>
      <c r="I1" t="s">
        <v>28</v>
      </c>
      <c r="J1" t="s">
        <v>12</v>
      </c>
    </row>
    <row r="2" spans="1:10">
      <c r="A2" s="2">
        <v>1</v>
      </c>
      <c r="B2" s="3">
        <v>46204</v>
      </c>
      <c r="C2" s="2">
        <v>1</v>
      </c>
      <c r="D2" s="2">
        <v>1</v>
      </c>
      <c r="E2" s="2">
        <v>17.5</v>
      </c>
      <c r="F2" s="2">
        <v>1050</v>
      </c>
      <c r="G2" t="str">
        <f>_xlfn.XLOOKUP(C2,products!A:A,products!B:B)</f>
        <v>Apple</v>
      </c>
      <c r="H2" t="str">
        <f>_xlfn.XLOOKUP(D2,stores!A:A,stores!B:B)</f>
        <v>Bitola</v>
      </c>
      <c r="I2" t="str">
        <f>IF(E2&gt;50,"BIG","NORMAL")</f>
        <v>NORMAL</v>
      </c>
      <c r="J2" s="4" t="str">
        <f t="shared" ref="J2:J65" si="0">TEXT(B2,"m")</f>
        <v>7</v>
      </c>
    </row>
    <row r="3" spans="1:10">
      <c r="A3" s="2">
        <v>2</v>
      </c>
      <c r="B3" s="3">
        <v>46204</v>
      </c>
      <c r="C3" s="2">
        <v>1</v>
      </c>
      <c r="D3" s="2">
        <v>2</v>
      </c>
      <c r="E3" s="2">
        <v>24.3</v>
      </c>
      <c r="F3" s="2">
        <v>1458</v>
      </c>
      <c r="G3" t="str">
        <f>_xlfn.XLOOKUP(C3,products!A:A,products!B:B)</f>
        <v>Apple</v>
      </c>
      <c r="H3" t="str">
        <f>_xlfn.XLOOKUP(D3,stores!A:A,stores!B:B)</f>
        <v>Ohrid</v>
      </c>
      <c r="I3" t="str">
        <f t="shared" ref="I3:I65" si="1">IF(E3&gt;50,"BIG","NORMAL")</f>
        <v>NORMAL</v>
      </c>
      <c r="J3" s="4" t="str">
        <f t="shared" si="0"/>
        <v>7</v>
      </c>
    </row>
    <row r="4" spans="1:10">
      <c r="A4" s="2">
        <v>3</v>
      </c>
      <c r="B4" s="3">
        <v>46204</v>
      </c>
      <c r="C4" s="2">
        <v>2</v>
      </c>
      <c r="D4" s="2">
        <v>1</v>
      </c>
      <c r="E4" s="2">
        <v>24.4</v>
      </c>
      <c r="F4" s="2">
        <v>2196</v>
      </c>
      <c r="G4" t="str">
        <f>_xlfn.XLOOKUP(C4,products!A:A,products!B:B)</f>
        <v>Banana</v>
      </c>
      <c r="H4" t="str">
        <f>_xlfn.XLOOKUP(D4,stores!A:A,stores!B:B)</f>
        <v>Bitola</v>
      </c>
      <c r="I4" t="str">
        <f t="shared" si="1"/>
        <v>NORMAL</v>
      </c>
      <c r="J4" s="4" t="str">
        <f t="shared" si="0"/>
        <v>7</v>
      </c>
    </row>
    <row r="5" spans="1:10">
      <c r="A5" s="2">
        <v>4</v>
      </c>
      <c r="B5" s="3">
        <v>46204</v>
      </c>
      <c r="C5" s="2">
        <v>2</v>
      </c>
      <c r="D5" s="2">
        <v>2</v>
      </c>
      <c r="E5" s="2">
        <v>39.9</v>
      </c>
      <c r="F5" s="2">
        <v>3591</v>
      </c>
      <c r="G5" t="str">
        <f>_xlfn.XLOOKUP(C5,products!A:A,products!B:B)</f>
        <v>Banana</v>
      </c>
      <c r="H5" t="str">
        <f>_xlfn.XLOOKUP(D5,stores!A:A,stores!B:B)</f>
        <v>Ohrid</v>
      </c>
      <c r="I5" t="str">
        <f t="shared" si="1"/>
        <v>NORMAL</v>
      </c>
      <c r="J5" s="4" t="str">
        <f t="shared" si="0"/>
        <v>7</v>
      </c>
    </row>
    <row r="6" spans="1:10">
      <c r="A6" s="2">
        <v>5</v>
      </c>
      <c r="B6" s="3">
        <v>46204</v>
      </c>
      <c r="C6" s="2">
        <v>3</v>
      </c>
      <c r="D6" s="2">
        <v>1</v>
      </c>
      <c r="E6" s="2">
        <v>9.7</v>
      </c>
      <c r="F6" s="2">
        <v>776</v>
      </c>
      <c r="G6" t="str">
        <f>_xlfn.XLOOKUP(C6,products!A:A,products!B:B)</f>
        <v>Orange</v>
      </c>
      <c r="H6" t="str">
        <f>_xlfn.XLOOKUP(D6,stores!A:A,stores!B:B)</f>
        <v>Bitola</v>
      </c>
      <c r="I6" t="str">
        <f t="shared" si="1"/>
        <v>NORMAL</v>
      </c>
      <c r="J6" s="4" t="str">
        <f t="shared" si="0"/>
        <v>7</v>
      </c>
    </row>
    <row r="7" spans="1:10">
      <c r="A7" s="2">
        <v>6</v>
      </c>
      <c r="B7" s="3">
        <v>46204</v>
      </c>
      <c r="C7" s="2">
        <v>3</v>
      </c>
      <c r="D7" s="2">
        <v>2</v>
      </c>
      <c r="E7" s="2">
        <v>9.8</v>
      </c>
      <c r="F7" s="2">
        <v>784</v>
      </c>
      <c r="G7" t="str">
        <f>_xlfn.XLOOKUP(C7,products!A:A,products!B:B)</f>
        <v>Orange</v>
      </c>
      <c r="H7" t="str">
        <f>_xlfn.XLOOKUP(D7,stores!A:A,stores!B:B)</f>
        <v>Ohrid</v>
      </c>
      <c r="I7" t="str">
        <f t="shared" si="1"/>
        <v>NORMAL</v>
      </c>
      <c r="J7" s="4" t="str">
        <f t="shared" si="0"/>
        <v>7</v>
      </c>
    </row>
    <row r="8" spans="1:10">
      <c r="A8" s="2">
        <v>7</v>
      </c>
      <c r="B8" s="3">
        <v>46204</v>
      </c>
      <c r="C8" s="2">
        <v>4</v>
      </c>
      <c r="D8" s="2">
        <v>1</v>
      </c>
      <c r="E8" s="2">
        <v>74.7</v>
      </c>
      <c r="F8" s="2">
        <v>1868</v>
      </c>
      <c r="G8" t="str">
        <f>_xlfn.XLOOKUP(C8,products!A:A,products!B:B)</f>
        <v>Watermelon</v>
      </c>
      <c r="H8" t="str">
        <f>_xlfn.XLOOKUP(D8,stores!A:A,stores!B:B)</f>
        <v>Bitola</v>
      </c>
      <c r="I8" t="str">
        <f t="shared" si="1"/>
        <v>BIG</v>
      </c>
      <c r="J8" s="4" t="str">
        <f t="shared" si="0"/>
        <v>7</v>
      </c>
    </row>
    <row r="9" spans="1:10">
      <c r="A9" s="2">
        <v>8</v>
      </c>
      <c r="B9" s="3">
        <v>46204</v>
      </c>
      <c r="C9" s="2">
        <v>4</v>
      </c>
      <c r="D9" s="2">
        <v>2</v>
      </c>
      <c r="E9" s="2">
        <v>92.8</v>
      </c>
      <c r="F9" s="2">
        <v>2320</v>
      </c>
      <c r="G9" t="str">
        <f>_xlfn.XLOOKUP(C9,products!A:A,products!B:B)</f>
        <v>Watermelon</v>
      </c>
      <c r="H9" t="str">
        <f>_xlfn.XLOOKUP(D9,stores!A:A,stores!B:B)</f>
        <v>Ohrid</v>
      </c>
      <c r="I9" t="str">
        <f t="shared" si="1"/>
        <v>BIG</v>
      </c>
      <c r="J9" s="4" t="str">
        <f t="shared" si="0"/>
        <v>7</v>
      </c>
    </row>
    <row r="10" spans="1:10">
      <c r="A10" s="2">
        <v>9</v>
      </c>
      <c r="B10" s="3">
        <v>46204</v>
      </c>
      <c r="C10" s="2">
        <v>5</v>
      </c>
      <c r="D10" s="2">
        <v>1</v>
      </c>
      <c r="E10" s="2">
        <v>4.8</v>
      </c>
      <c r="F10" s="2">
        <v>528</v>
      </c>
      <c r="G10" t="str">
        <f>_xlfn.XLOOKUP(C10,products!A:A,products!B:B)</f>
        <v>Grapes</v>
      </c>
      <c r="H10" t="str">
        <f>_xlfn.XLOOKUP(D10,stores!A:A,stores!B:B)</f>
        <v>Bitola</v>
      </c>
      <c r="I10" t="str">
        <f t="shared" si="1"/>
        <v>NORMAL</v>
      </c>
      <c r="J10" s="4" t="str">
        <f t="shared" si="0"/>
        <v>7</v>
      </c>
    </row>
    <row r="11" spans="1:10">
      <c r="A11" s="2">
        <v>10</v>
      </c>
      <c r="B11" s="3">
        <v>46204</v>
      </c>
      <c r="C11" s="2">
        <v>5</v>
      </c>
      <c r="D11" s="2">
        <v>2</v>
      </c>
      <c r="E11" s="2">
        <v>7.2</v>
      </c>
      <c r="F11" s="2">
        <v>792</v>
      </c>
      <c r="G11" t="str">
        <f>_xlfn.XLOOKUP(C11,products!A:A,products!B:B)</f>
        <v>Grapes</v>
      </c>
      <c r="H11" t="str">
        <f>_xlfn.XLOOKUP(D11,stores!A:A,stores!B:B)</f>
        <v>Ohrid</v>
      </c>
      <c r="I11" t="str">
        <f t="shared" si="1"/>
        <v>NORMAL</v>
      </c>
      <c r="J11" s="4" t="str">
        <f t="shared" si="0"/>
        <v>7</v>
      </c>
    </row>
    <row r="12" spans="1:10">
      <c r="A12" s="2">
        <v>11</v>
      </c>
      <c r="B12" s="3">
        <v>46204</v>
      </c>
      <c r="C12" s="2">
        <v>6</v>
      </c>
      <c r="D12" s="2">
        <v>1</v>
      </c>
      <c r="E12" s="2">
        <v>8.4</v>
      </c>
      <c r="F12" s="2">
        <v>1848</v>
      </c>
      <c r="G12" t="str">
        <f>_xlfn.XLOOKUP(C12,products!A:A,products!B:B)</f>
        <v>Strawberry</v>
      </c>
      <c r="H12" t="str">
        <f>_xlfn.XLOOKUP(D12,stores!A:A,stores!B:B)</f>
        <v>Bitola</v>
      </c>
      <c r="I12" t="str">
        <f t="shared" si="1"/>
        <v>NORMAL</v>
      </c>
      <c r="J12" s="4" t="str">
        <f t="shared" si="0"/>
        <v>7</v>
      </c>
    </row>
    <row r="13" spans="1:10">
      <c r="A13" s="2">
        <v>12</v>
      </c>
      <c r="B13" s="3">
        <v>46204</v>
      </c>
      <c r="C13" s="2">
        <v>6</v>
      </c>
      <c r="D13" s="2">
        <v>2</v>
      </c>
      <c r="E13" s="2">
        <v>13.8</v>
      </c>
      <c r="F13" s="2">
        <v>3036</v>
      </c>
      <c r="G13" t="str">
        <f>_xlfn.XLOOKUP(C13,products!A:A,products!B:B)</f>
        <v>Strawberry</v>
      </c>
      <c r="H13" t="str">
        <f>_xlfn.XLOOKUP(D13,stores!A:A,stores!B:B)</f>
        <v>Ohrid</v>
      </c>
      <c r="I13" t="str">
        <f t="shared" si="1"/>
        <v>NORMAL</v>
      </c>
      <c r="J13" s="4" t="str">
        <f t="shared" si="0"/>
        <v>7</v>
      </c>
    </row>
    <row r="14" spans="1:10">
      <c r="A14" s="2">
        <v>13</v>
      </c>
      <c r="B14" s="3">
        <v>46204</v>
      </c>
      <c r="C14" s="2">
        <v>7</v>
      </c>
      <c r="D14" s="2">
        <v>1</v>
      </c>
      <c r="E14" s="2">
        <v>24.9</v>
      </c>
      <c r="F14" s="2">
        <v>2366</v>
      </c>
      <c r="G14" t="str">
        <f>_xlfn.XLOOKUP(C14,products!A:A,products!B:B)</f>
        <v>Peach</v>
      </c>
      <c r="H14" t="str">
        <f>_xlfn.XLOOKUP(D14,stores!A:A,stores!B:B)</f>
        <v>Bitola</v>
      </c>
      <c r="I14" t="str">
        <f t="shared" si="1"/>
        <v>NORMAL</v>
      </c>
      <c r="J14" s="4" t="str">
        <f t="shared" si="0"/>
        <v>7</v>
      </c>
    </row>
    <row r="15" spans="1:10">
      <c r="A15" s="2">
        <v>14</v>
      </c>
      <c r="B15" s="3">
        <v>46204</v>
      </c>
      <c r="C15" s="2">
        <v>7</v>
      </c>
      <c r="D15" s="2">
        <v>2</v>
      </c>
      <c r="E15" s="2">
        <v>31.5</v>
      </c>
      <c r="F15" s="2">
        <v>2992</v>
      </c>
      <c r="G15" t="str">
        <f>_xlfn.XLOOKUP(C15,products!A:A,products!B:B)</f>
        <v>Peach</v>
      </c>
      <c r="H15" t="str">
        <f>_xlfn.XLOOKUP(D15,stores!A:A,stores!B:B)</f>
        <v>Ohrid</v>
      </c>
      <c r="I15" t="str">
        <f t="shared" si="1"/>
        <v>NORMAL</v>
      </c>
      <c r="J15" s="4" t="str">
        <f t="shared" si="0"/>
        <v>7</v>
      </c>
    </row>
    <row r="16" spans="1:10">
      <c r="A16" s="2">
        <v>15</v>
      </c>
      <c r="B16" s="3">
        <v>46205</v>
      </c>
      <c r="C16" s="2">
        <v>1</v>
      </c>
      <c r="D16" s="2">
        <v>1</v>
      </c>
      <c r="E16" s="2">
        <v>15.3</v>
      </c>
      <c r="F16" s="2">
        <v>918</v>
      </c>
      <c r="G16" t="str">
        <f>_xlfn.XLOOKUP(C16,products!A:A,products!B:B)</f>
        <v>Apple</v>
      </c>
      <c r="H16" t="str">
        <f>_xlfn.XLOOKUP(D16,stores!A:A,stores!B:B)</f>
        <v>Bitola</v>
      </c>
      <c r="I16" t="str">
        <f t="shared" si="1"/>
        <v>NORMAL</v>
      </c>
      <c r="J16" s="4" t="str">
        <f t="shared" si="0"/>
        <v>7</v>
      </c>
    </row>
    <row r="17" spans="1:10">
      <c r="A17" s="2">
        <v>16</v>
      </c>
      <c r="B17" s="3">
        <v>46205</v>
      </c>
      <c r="C17" s="2">
        <v>1</v>
      </c>
      <c r="D17" s="2">
        <v>2</v>
      </c>
      <c r="E17" s="2">
        <v>20.1</v>
      </c>
      <c r="F17" s="2">
        <v>1206</v>
      </c>
      <c r="G17" t="str">
        <f>_xlfn.XLOOKUP(C17,products!A:A,products!B:B)</f>
        <v>Apple</v>
      </c>
      <c r="H17" t="str">
        <f>_xlfn.XLOOKUP(D17,stores!A:A,stores!B:B)</f>
        <v>Ohrid</v>
      </c>
      <c r="I17" t="str">
        <f t="shared" si="1"/>
        <v>NORMAL</v>
      </c>
      <c r="J17" s="4" t="str">
        <f t="shared" si="0"/>
        <v>7</v>
      </c>
    </row>
    <row r="18" spans="1:10">
      <c r="A18" s="2">
        <v>17</v>
      </c>
      <c r="B18" s="3">
        <v>46205</v>
      </c>
      <c r="C18" s="2">
        <v>2</v>
      </c>
      <c r="D18" s="2">
        <v>1</v>
      </c>
      <c r="E18" s="2">
        <v>26.2</v>
      </c>
      <c r="F18" s="2">
        <v>2358</v>
      </c>
      <c r="G18" t="str">
        <f>_xlfn.XLOOKUP(C18,products!A:A,products!B:B)</f>
        <v>Banana</v>
      </c>
      <c r="H18" t="str">
        <f>_xlfn.XLOOKUP(D18,stores!A:A,stores!B:B)</f>
        <v>Bitola</v>
      </c>
      <c r="I18" t="str">
        <f t="shared" si="1"/>
        <v>NORMAL</v>
      </c>
      <c r="J18" s="4" t="str">
        <f t="shared" si="0"/>
        <v>7</v>
      </c>
    </row>
    <row r="19" spans="1:10">
      <c r="A19" s="2">
        <v>18</v>
      </c>
      <c r="B19" s="3">
        <v>46205</v>
      </c>
      <c r="C19" s="2">
        <v>2</v>
      </c>
      <c r="D19" s="2">
        <v>2</v>
      </c>
      <c r="E19" s="2">
        <v>44.2</v>
      </c>
      <c r="F19" s="2">
        <v>3978</v>
      </c>
      <c r="G19" t="str">
        <f>_xlfn.XLOOKUP(C19,products!A:A,products!B:B)</f>
        <v>Banana</v>
      </c>
      <c r="H19" t="str">
        <f>_xlfn.XLOOKUP(D19,stores!A:A,stores!B:B)</f>
        <v>Ohrid</v>
      </c>
      <c r="I19" t="str">
        <f t="shared" si="1"/>
        <v>NORMAL</v>
      </c>
      <c r="J19" s="4" t="str">
        <f t="shared" si="0"/>
        <v>7</v>
      </c>
    </row>
    <row r="20" spans="1:10">
      <c r="A20" s="2">
        <v>19</v>
      </c>
      <c r="B20" s="3">
        <v>46205</v>
      </c>
      <c r="C20" s="2">
        <v>3</v>
      </c>
      <c r="D20" s="2">
        <v>1</v>
      </c>
      <c r="E20" s="2">
        <v>10.1</v>
      </c>
      <c r="F20" s="2">
        <v>808</v>
      </c>
      <c r="G20" t="str">
        <f>_xlfn.XLOOKUP(C20,products!A:A,products!B:B)</f>
        <v>Orange</v>
      </c>
      <c r="H20" t="str">
        <f>_xlfn.XLOOKUP(D20,stores!A:A,stores!B:B)</f>
        <v>Bitola</v>
      </c>
      <c r="I20" t="str">
        <f t="shared" si="1"/>
        <v>NORMAL</v>
      </c>
      <c r="J20" s="4" t="str">
        <f t="shared" si="0"/>
        <v>7</v>
      </c>
    </row>
    <row r="21" spans="1:10">
      <c r="A21" s="2">
        <v>20</v>
      </c>
      <c r="B21" s="3">
        <v>46205</v>
      </c>
      <c r="C21" s="2">
        <v>3</v>
      </c>
      <c r="D21" s="2">
        <v>2</v>
      </c>
      <c r="E21" s="2">
        <v>13.7</v>
      </c>
      <c r="F21" s="2">
        <v>1096</v>
      </c>
      <c r="G21" t="str">
        <f>_xlfn.XLOOKUP(C21,products!A:A,products!B:B)</f>
        <v>Orange</v>
      </c>
      <c r="H21" t="str">
        <f>_xlfn.XLOOKUP(D21,stores!A:A,stores!B:B)</f>
        <v>Ohrid</v>
      </c>
      <c r="I21" t="str">
        <f t="shared" si="1"/>
        <v>NORMAL</v>
      </c>
      <c r="J21" s="4" t="str">
        <f t="shared" si="0"/>
        <v>7</v>
      </c>
    </row>
    <row r="22" spans="1:10">
      <c r="A22" s="2">
        <v>21</v>
      </c>
      <c r="B22" s="3">
        <v>46205</v>
      </c>
      <c r="C22" s="2">
        <v>4</v>
      </c>
      <c r="D22" s="2">
        <v>1</v>
      </c>
      <c r="E22" s="2">
        <v>77.4</v>
      </c>
      <c r="F22" s="2">
        <v>1935</v>
      </c>
      <c r="G22" t="str">
        <f>_xlfn.XLOOKUP(C22,products!A:A,products!B:B)</f>
        <v>Watermelon</v>
      </c>
      <c r="H22" t="str">
        <f>_xlfn.XLOOKUP(D22,stores!A:A,stores!B:B)</f>
        <v>Bitola</v>
      </c>
      <c r="I22" t="str">
        <f t="shared" si="1"/>
        <v>BIG</v>
      </c>
      <c r="J22" s="4" t="str">
        <f t="shared" si="0"/>
        <v>7</v>
      </c>
    </row>
    <row r="23" spans="1:10">
      <c r="A23" s="2">
        <v>22</v>
      </c>
      <c r="B23" s="3">
        <v>46205</v>
      </c>
      <c r="C23" s="2">
        <v>4</v>
      </c>
      <c r="D23" s="2">
        <v>2</v>
      </c>
      <c r="E23" s="2">
        <v>69.5</v>
      </c>
      <c r="F23" s="2">
        <v>1738</v>
      </c>
      <c r="G23" t="str">
        <f>_xlfn.XLOOKUP(C23,products!A:A,products!B:B)</f>
        <v>Watermelon</v>
      </c>
      <c r="H23" t="str">
        <f>_xlfn.XLOOKUP(D23,stores!A:A,stores!B:B)</f>
        <v>Ohrid</v>
      </c>
      <c r="I23" t="str">
        <f t="shared" si="1"/>
        <v>BIG</v>
      </c>
      <c r="J23" s="4" t="str">
        <f t="shared" si="0"/>
        <v>7</v>
      </c>
    </row>
    <row r="24" spans="1:10">
      <c r="A24" s="2">
        <v>23</v>
      </c>
      <c r="B24" s="3">
        <v>46205</v>
      </c>
      <c r="C24" s="2">
        <v>5</v>
      </c>
      <c r="D24" s="2">
        <v>1</v>
      </c>
      <c r="E24" s="2">
        <v>4.7</v>
      </c>
      <c r="F24" s="2">
        <v>517</v>
      </c>
      <c r="G24" t="str">
        <f>_xlfn.XLOOKUP(C24,products!A:A,products!B:B)</f>
        <v>Grapes</v>
      </c>
      <c r="H24" t="str">
        <f>_xlfn.XLOOKUP(D24,stores!A:A,stores!B:B)</f>
        <v>Bitola</v>
      </c>
      <c r="I24" t="str">
        <f t="shared" si="1"/>
        <v>NORMAL</v>
      </c>
      <c r="J24" s="4" t="str">
        <f t="shared" si="0"/>
        <v>7</v>
      </c>
    </row>
    <row r="25" spans="1:10">
      <c r="A25" s="2">
        <v>24</v>
      </c>
      <c r="B25" s="3">
        <v>46205</v>
      </c>
      <c r="C25" s="2">
        <v>5</v>
      </c>
      <c r="D25" s="2">
        <v>2</v>
      </c>
      <c r="E25" s="2">
        <v>7.7</v>
      </c>
      <c r="F25" s="2">
        <v>847</v>
      </c>
      <c r="G25" t="str">
        <f>_xlfn.XLOOKUP(C25,products!A:A,products!B:B)</f>
        <v>Grapes</v>
      </c>
      <c r="H25" t="str">
        <f>_xlfn.XLOOKUP(D25,stores!A:A,stores!B:B)</f>
        <v>Ohrid</v>
      </c>
      <c r="I25" t="str">
        <f t="shared" si="1"/>
        <v>NORMAL</v>
      </c>
      <c r="J25" s="4" t="str">
        <f t="shared" si="0"/>
        <v>7</v>
      </c>
    </row>
    <row r="26" spans="1:10">
      <c r="A26" s="2">
        <v>25</v>
      </c>
      <c r="B26" s="3">
        <v>46205</v>
      </c>
      <c r="C26" s="2">
        <v>6</v>
      </c>
      <c r="D26" s="2">
        <v>1</v>
      </c>
      <c r="E26" s="2">
        <v>9.4</v>
      </c>
      <c r="F26" s="2">
        <v>2068</v>
      </c>
      <c r="G26" t="str">
        <f>_xlfn.XLOOKUP(C26,products!A:A,products!B:B)</f>
        <v>Strawberry</v>
      </c>
      <c r="H26" t="str">
        <f>_xlfn.XLOOKUP(D26,stores!A:A,stores!B:B)</f>
        <v>Bitola</v>
      </c>
      <c r="I26" t="str">
        <f t="shared" si="1"/>
        <v>NORMAL</v>
      </c>
      <c r="J26" s="4" t="str">
        <f t="shared" si="0"/>
        <v>7</v>
      </c>
    </row>
    <row r="27" spans="1:10">
      <c r="A27" s="2">
        <v>26</v>
      </c>
      <c r="B27" s="3">
        <v>46205</v>
      </c>
      <c r="C27" s="2">
        <v>6</v>
      </c>
      <c r="D27" s="2">
        <v>2</v>
      </c>
      <c r="E27" s="2">
        <v>10.7</v>
      </c>
      <c r="F27" s="2">
        <v>2354</v>
      </c>
      <c r="G27" t="str">
        <f>_xlfn.XLOOKUP(C27,products!A:A,products!B:B)</f>
        <v>Strawberry</v>
      </c>
      <c r="H27" t="str">
        <f>_xlfn.XLOOKUP(D27,stores!A:A,stores!B:B)</f>
        <v>Ohrid</v>
      </c>
      <c r="I27" t="str">
        <f t="shared" si="1"/>
        <v>NORMAL</v>
      </c>
      <c r="J27" s="4" t="str">
        <f t="shared" si="0"/>
        <v>7</v>
      </c>
    </row>
    <row r="28" spans="1:10">
      <c r="A28" s="2">
        <v>27</v>
      </c>
      <c r="B28" s="3">
        <v>46205</v>
      </c>
      <c r="C28" s="2">
        <v>7</v>
      </c>
      <c r="D28" s="2">
        <v>1</v>
      </c>
      <c r="E28" s="2">
        <v>23.7</v>
      </c>
      <c r="F28" s="2">
        <v>2252</v>
      </c>
      <c r="G28" t="str">
        <f>_xlfn.XLOOKUP(C28,products!A:A,products!B:B)</f>
        <v>Peach</v>
      </c>
      <c r="H28" t="str">
        <f>_xlfn.XLOOKUP(D28,stores!A:A,stores!B:B)</f>
        <v>Bitola</v>
      </c>
      <c r="I28" t="str">
        <f t="shared" si="1"/>
        <v>NORMAL</v>
      </c>
      <c r="J28" s="4" t="str">
        <f t="shared" si="0"/>
        <v>7</v>
      </c>
    </row>
    <row r="29" spans="1:10">
      <c r="A29" s="2">
        <v>28</v>
      </c>
      <c r="B29" s="3">
        <v>46205</v>
      </c>
      <c r="C29" s="2">
        <v>7</v>
      </c>
      <c r="D29" s="2">
        <v>2</v>
      </c>
      <c r="E29" s="2">
        <v>32.3</v>
      </c>
      <c r="F29" s="2">
        <v>3068</v>
      </c>
      <c r="G29" t="str">
        <f>_xlfn.XLOOKUP(C29,products!A:A,products!B:B)</f>
        <v>Peach</v>
      </c>
      <c r="H29" t="str">
        <f>_xlfn.XLOOKUP(D29,stores!A:A,stores!B:B)</f>
        <v>Ohrid</v>
      </c>
      <c r="I29" t="str">
        <f t="shared" si="1"/>
        <v>NORMAL</v>
      </c>
      <c r="J29" s="4" t="str">
        <f t="shared" si="0"/>
        <v>7</v>
      </c>
    </row>
    <row r="30" spans="1:10">
      <c r="A30" s="2">
        <v>29</v>
      </c>
      <c r="B30" s="3">
        <v>46206</v>
      </c>
      <c r="C30" s="2">
        <v>1</v>
      </c>
      <c r="D30" s="2">
        <v>1</v>
      </c>
      <c r="E30" s="2">
        <v>20.8</v>
      </c>
      <c r="F30" s="2">
        <v>1248</v>
      </c>
      <c r="G30" t="str">
        <f>_xlfn.XLOOKUP(C30,products!A:A,products!B:B)</f>
        <v>Apple</v>
      </c>
      <c r="H30" t="str">
        <f>_xlfn.XLOOKUP(D30,stores!A:A,stores!B:B)</f>
        <v>Bitola</v>
      </c>
      <c r="I30" t="str">
        <f t="shared" si="1"/>
        <v>NORMAL</v>
      </c>
      <c r="J30" s="4" t="str">
        <f t="shared" si="0"/>
        <v>7</v>
      </c>
    </row>
    <row r="31" spans="1:10">
      <c r="A31" s="2">
        <v>30</v>
      </c>
      <c r="B31" s="3">
        <v>46206</v>
      </c>
      <c r="C31" s="2">
        <v>1</v>
      </c>
      <c r="D31" s="2">
        <v>2</v>
      </c>
      <c r="E31" s="2">
        <v>19.6</v>
      </c>
      <c r="F31" s="2">
        <v>1176</v>
      </c>
      <c r="G31" t="str">
        <f>_xlfn.XLOOKUP(C31,products!A:A,products!B:B)</f>
        <v>Apple</v>
      </c>
      <c r="H31" t="str">
        <f>_xlfn.XLOOKUP(D31,stores!A:A,stores!B:B)</f>
        <v>Ohrid</v>
      </c>
      <c r="I31" t="str">
        <f t="shared" si="1"/>
        <v>NORMAL</v>
      </c>
      <c r="J31" s="4" t="str">
        <f t="shared" si="0"/>
        <v>7</v>
      </c>
    </row>
    <row r="32" spans="1:10">
      <c r="A32" s="2">
        <v>31</v>
      </c>
      <c r="B32" s="3">
        <v>46206</v>
      </c>
      <c r="C32" s="2">
        <v>2</v>
      </c>
      <c r="D32" s="2">
        <v>1</v>
      </c>
      <c r="E32" s="2">
        <v>27.8</v>
      </c>
      <c r="F32" s="2">
        <v>2502</v>
      </c>
      <c r="G32" t="str">
        <f>_xlfn.XLOOKUP(C32,products!A:A,products!B:B)</f>
        <v>Banana</v>
      </c>
      <c r="H32" t="str">
        <f>_xlfn.XLOOKUP(D32,stores!A:A,stores!B:B)</f>
        <v>Bitola</v>
      </c>
      <c r="I32" t="str">
        <f t="shared" si="1"/>
        <v>NORMAL</v>
      </c>
      <c r="J32" s="4" t="str">
        <f t="shared" si="0"/>
        <v>7</v>
      </c>
    </row>
    <row r="33" spans="1:10">
      <c r="A33" s="2">
        <v>32</v>
      </c>
      <c r="B33" s="3">
        <v>46206</v>
      </c>
      <c r="C33" s="2">
        <v>2</v>
      </c>
      <c r="D33" s="2">
        <v>2</v>
      </c>
      <c r="E33" s="2">
        <v>24.4</v>
      </c>
      <c r="F33" s="2">
        <v>2196</v>
      </c>
      <c r="G33" t="str">
        <f>_xlfn.XLOOKUP(C33,products!A:A,products!B:B)</f>
        <v>Banana</v>
      </c>
      <c r="H33" t="str">
        <f>_xlfn.XLOOKUP(D33,stores!A:A,stores!B:B)</f>
        <v>Ohrid</v>
      </c>
      <c r="I33" t="str">
        <f t="shared" si="1"/>
        <v>NORMAL</v>
      </c>
      <c r="J33" s="4" t="str">
        <f t="shared" si="0"/>
        <v>7</v>
      </c>
    </row>
    <row r="34" spans="1:10">
      <c r="A34" s="2">
        <v>33</v>
      </c>
      <c r="B34" s="3">
        <v>46206</v>
      </c>
      <c r="C34" s="2">
        <v>3</v>
      </c>
      <c r="D34" s="2">
        <v>1</v>
      </c>
      <c r="E34" s="2">
        <v>4.8</v>
      </c>
      <c r="F34" s="2">
        <v>384</v>
      </c>
      <c r="G34" t="str">
        <f>_xlfn.XLOOKUP(C34,products!A:A,products!B:B)</f>
        <v>Orange</v>
      </c>
      <c r="H34" t="str">
        <f>_xlfn.XLOOKUP(D34,stores!A:A,stores!B:B)</f>
        <v>Bitola</v>
      </c>
      <c r="I34" t="str">
        <f t="shared" si="1"/>
        <v>NORMAL</v>
      </c>
      <c r="J34" s="4" t="str">
        <f t="shared" si="0"/>
        <v>7</v>
      </c>
    </row>
    <row r="35" spans="1:10">
      <c r="A35" s="2">
        <v>34</v>
      </c>
      <c r="B35" s="3">
        <v>46206</v>
      </c>
      <c r="C35" s="2">
        <v>3</v>
      </c>
      <c r="D35" s="2">
        <v>2</v>
      </c>
      <c r="E35" s="2">
        <v>12.3</v>
      </c>
      <c r="F35" s="2">
        <v>984</v>
      </c>
      <c r="G35" t="str">
        <f>_xlfn.XLOOKUP(C35,products!A:A,products!B:B)</f>
        <v>Orange</v>
      </c>
      <c r="H35" t="str">
        <f>_xlfn.XLOOKUP(D35,stores!A:A,stores!B:B)</f>
        <v>Ohrid</v>
      </c>
      <c r="I35" t="str">
        <f t="shared" si="1"/>
        <v>NORMAL</v>
      </c>
      <c r="J35" s="4" t="str">
        <f t="shared" si="0"/>
        <v>7</v>
      </c>
    </row>
    <row r="36" spans="1:10">
      <c r="A36" s="2">
        <v>35</v>
      </c>
      <c r="B36" s="3">
        <v>46206</v>
      </c>
      <c r="C36" s="2">
        <v>4</v>
      </c>
      <c r="D36" s="2">
        <v>1</v>
      </c>
      <c r="E36" s="2">
        <v>57.2</v>
      </c>
      <c r="F36" s="2">
        <v>1430</v>
      </c>
      <c r="G36" t="str">
        <f>_xlfn.XLOOKUP(C36,products!A:A,products!B:B)</f>
        <v>Watermelon</v>
      </c>
      <c r="H36" t="str">
        <f>_xlfn.XLOOKUP(D36,stores!A:A,stores!B:B)</f>
        <v>Bitola</v>
      </c>
      <c r="I36" t="str">
        <f t="shared" si="1"/>
        <v>BIG</v>
      </c>
      <c r="J36" s="4" t="str">
        <f t="shared" si="0"/>
        <v>7</v>
      </c>
    </row>
    <row r="37" spans="1:10">
      <c r="A37" s="2">
        <v>36</v>
      </c>
      <c r="B37" s="3">
        <v>46206</v>
      </c>
      <c r="C37" s="2">
        <v>4</v>
      </c>
      <c r="D37" s="2">
        <v>2</v>
      </c>
      <c r="E37" s="2">
        <v>115.2</v>
      </c>
      <c r="F37" s="2">
        <v>2880</v>
      </c>
      <c r="G37" t="str">
        <f>_xlfn.XLOOKUP(C37,products!A:A,products!B:B)</f>
        <v>Watermelon</v>
      </c>
      <c r="H37" t="str">
        <f>_xlfn.XLOOKUP(D37,stores!A:A,stores!B:B)</f>
        <v>Ohrid</v>
      </c>
      <c r="I37" t="str">
        <f t="shared" si="1"/>
        <v>BIG</v>
      </c>
      <c r="J37" s="4" t="str">
        <f t="shared" si="0"/>
        <v>7</v>
      </c>
    </row>
    <row r="38" spans="1:10">
      <c r="A38" s="2">
        <v>37</v>
      </c>
      <c r="B38" s="3">
        <v>46206</v>
      </c>
      <c r="C38" s="2">
        <v>5</v>
      </c>
      <c r="D38" s="2">
        <v>1</v>
      </c>
      <c r="E38" s="2">
        <v>5.7</v>
      </c>
      <c r="F38" s="2">
        <v>627</v>
      </c>
      <c r="G38" t="str">
        <f>_xlfn.XLOOKUP(C38,products!A:A,products!B:B)</f>
        <v>Grapes</v>
      </c>
      <c r="H38" t="str">
        <f>_xlfn.XLOOKUP(D38,stores!A:A,stores!B:B)</f>
        <v>Bitola</v>
      </c>
      <c r="I38" t="str">
        <f t="shared" si="1"/>
        <v>NORMAL</v>
      </c>
      <c r="J38" s="4" t="str">
        <f t="shared" si="0"/>
        <v>7</v>
      </c>
    </row>
    <row r="39" spans="1:10">
      <c r="A39" s="2">
        <v>38</v>
      </c>
      <c r="B39" s="3">
        <v>46206</v>
      </c>
      <c r="C39" s="2">
        <v>5</v>
      </c>
      <c r="D39" s="2">
        <v>2</v>
      </c>
      <c r="E39" s="2">
        <v>5.3</v>
      </c>
      <c r="F39" s="2">
        <v>583</v>
      </c>
      <c r="G39" t="str">
        <f>_xlfn.XLOOKUP(C39,products!A:A,products!B:B)</f>
        <v>Grapes</v>
      </c>
      <c r="H39" t="str">
        <f>_xlfn.XLOOKUP(D39,stores!A:A,stores!B:B)</f>
        <v>Ohrid</v>
      </c>
      <c r="I39" t="str">
        <f t="shared" si="1"/>
        <v>NORMAL</v>
      </c>
      <c r="J39" s="4" t="str">
        <f t="shared" si="0"/>
        <v>7</v>
      </c>
    </row>
    <row r="40" spans="1:10">
      <c r="A40" s="2">
        <v>39</v>
      </c>
      <c r="B40" s="3">
        <v>46206</v>
      </c>
      <c r="C40" s="2">
        <v>6</v>
      </c>
      <c r="D40" s="2">
        <v>1</v>
      </c>
      <c r="E40" s="2">
        <v>9.4</v>
      </c>
      <c r="F40" s="2">
        <v>2068</v>
      </c>
      <c r="G40" t="str">
        <f>_xlfn.XLOOKUP(C40,products!A:A,products!B:B)</f>
        <v>Strawberry</v>
      </c>
      <c r="H40" t="str">
        <f>_xlfn.XLOOKUP(D40,stores!A:A,stores!B:B)</f>
        <v>Bitola</v>
      </c>
      <c r="I40" t="str">
        <f t="shared" si="1"/>
        <v>NORMAL</v>
      </c>
      <c r="J40" s="4" t="str">
        <f t="shared" si="0"/>
        <v>7</v>
      </c>
    </row>
    <row r="41" spans="1:10">
      <c r="A41" s="2">
        <v>40</v>
      </c>
      <c r="B41" s="3">
        <v>46206</v>
      </c>
      <c r="C41" s="2">
        <v>6</v>
      </c>
      <c r="D41" s="2">
        <v>2</v>
      </c>
      <c r="E41" s="2">
        <v>9</v>
      </c>
      <c r="F41" s="2">
        <v>1980</v>
      </c>
      <c r="G41" t="str">
        <f>_xlfn.XLOOKUP(C41,products!A:A,products!B:B)</f>
        <v>Strawberry</v>
      </c>
      <c r="H41" t="str">
        <f>_xlfn.XLOOKUP(D41,stores!A:A,stores!B:B)</f>
        <v>Ohrid</v>
      </c>
      <c r="I41" t="str">
        <f t="shared" si="1"/>
        <v>NORMAL</v>
      </c>
      <c r="J41" s="4" t="str">
        <f t="shared" si="0"/>
        <v>7</v>
      </c>
    </row>
    <row r="42" spans="1:10">
      <c r="A42" s="2">
        <v>41</v>
      </c>
      <c r="B42" s="3">
        <v>46206</v>
      </c>
      <c r="C42" s="2">
        <v>7</v>
      </c>
      <c r="D42" s="2">
        <v>1</v>
      </c>
      <c r="E42" s="2">
        <v>21.6</v>
      </c>
      <c r="F42" s="2">
        <v>2052</v>
      </c>
      <c r="G42" t="str">
        <f>_xlfn.XLOOKUP(C42,products!A:A,products!B:B)</f>
        <v>Peach</v>
      </c>
      <c r="H42" t="str">
        <f>_xlfn.XLOOKUP(D42,stores!A:A,stores!B:B)</f>
        <v>Bitola</v>
      </c>
      <c r="I42" t="str">
        <f t="shared" si="1"/>
        <v>NORMAL</v>
      </c>
      <c r="J42" s="4" t="str">
        <f t="shared" si="0"/>
        <v>7</v>
      </c>
    </row>
    <row r="43" spans="1:10">
      <c r="A43" s="2">
        <v>42</v>
      </c>
      <c r="B43" s="3">
        <v>46206</v>
      </c>
      <c r="C43" s="2">
        <v>7</v>
      </c>
      <c r="D43" s="2">
        <v>2</v>
      </c>
      <c r="E43" s="2">
        <v>29</v>
      </c>
      <c r="F43" s="2">
        <v>2755</v>
      </c>
      <c r="G43" t="str">
        <f>_xlfn.XLOOKUP(C43,products!A:A,products!B:B)</f>
        <v>Peach</v>
      </c>
      <c r="H43" t="str">
        <f>_xlfn.XLOOKUP(D43,stores!A:A,stores!B:B)</f>
        <v>Ohrid</v>
      </c>
      <c r="I43" t="str">
        <f t="shared" si="1"/>
        <v>NORMAL</v>
      </c>
      <c r="J43" s="4" t="str">
        <f t="shared" si="0"/>
        <v>7</v>
      </c>
    </row>
    <row r="44" spans="1:10">
      <c r="A44" s="2">
        <v>43</v>
      </c>
      <c r="B44" s="3">
        <v>46207</v>
      </c>
      <c r="C44" s="2">
        <v>1</v>
      </c>
      <c r="D44" s="2">
        <v>1</v>
      </c>
      <c r="E44" s="2">
        <v>23</v>
      </c>
      <c r="F44" s="2">
        <v>1380</v>
      </c>
      <c r="G44" t="str">
        <f>_xlfn.XLOOKUP(C44,products!A:A,products!B:B)</f>
        <v>Apple</v>
      </c>
      <c r="H44" t="str">
        <f>_xlfn.XLOOKUP(D44,stores!A:A,stores!B:B)</f>
        <v>Bitola</v>
      </c>
      <c r="I44" t="str">
        <f t="shared" si="1"/>
        <v>NORMAL</v>
      </c>
      <c r="J44" s="4" t="str">
        <f t="shared" si="0"/>
        <v>7</v>
      </c>
    </row>
    <row r="45" spans="1:10">
      <c r="A45" s="2">
        <v>44</v>
      </c>
      <c r="B45" s="3">
        <v>46207</v>
      </c>
      <c r="C45" s="2">
        <v>1</v>
      </c>
      <c r="D45" s="2">
        <v>2</v>
      </c>
      <c r="E45" s="2">
        <v>36.7</v>
      </c>
      <c r="F45" s="2">
        <v>2202</v>
      </c>
      <c r="G45" t="str">
        <f>_xlfn.XLOOKUP(C45,products!A:A,products!B:B)</f>
        <v>Apple</v>
      </c>
      <c r="H45" t="str">
        <f>_xlfn.XLOOKUP(D45,stores!A:A,stores!B:B)</f>
        <v>Ohrid</v>
      </c>
      <c r="I45" t="str">
        <f t="shared" si="1"/>
        <v>NORMAL</v>
      </c>
      <c r="J45" s="4" t="str">
        <f t="shared" si="0"/>
        <v>7</v>
      </c>
    </row>
    <row r="46" spans="1:10">
      <c r="A46" s="2">
        <v>45</v>
      </c>
      <c r="B46" s="3">
        <v>46207</v>
      </c>
      <c r="C46" s="2">
        <v>2</v>
      </c>
      <c r="D46" s="2">
        <v>1</v>
      </c>
      <c r="E46" s="2">
        <v>35.2</v>
      </c>
      <c r="F46" s="2">
        <v>3168</v>
      </c>
      <c r="G46" t="str">
        <f>_xlfn.XLOOKUP(C46,products!A:A,products!B:B)</f>
        <v>Banana</v>
      </c>
      <c r="H46" t="str">
        <f>_xlfn.XLOOKUP(D46,stores!A:A,stores!B:B)</f>
        <v>Bitola</v>
      </c>
      <c r="I46" t="str">
        <f t="shared" si="1"/>
        <v>NORMAL</v>
      </c>
      <c r="J46" s="4" t="str">
        <f t="shared" si="0"/>
        <v>7</v>
      </c>
    </row>
    <row r="47" spans="1:10">
      <c r="A47" s="2">
        <v>46</v>
      </c>
      <c r="B47" s="3">
        <v>46207</v>
      </c>
      <c r="C47" s="2">
        <v>2</v>
      </c>
      <c r="D47" s="2">
        <v>2</v>
      </c>
      <c r="E47" s="2">
        <v>46.8</v>
      </c>
      <c r="F47" s="2">
        <v>4212</v>
      </c>
      <c r="G47" t="str">
        <f>_xlfn.XLOOKUP(C47,products!A:A,products!B:B)</f>
        <v>Banana</v>
      </c>
      <c r="H47" t="str">
        <f>_xlfn.XLOOKUP(D47,stores!A:A,stores!B:B)</f>
        <v>Ohrid</v>
      </c>
      <c r="I47" t="str">
        <f t="shared" si="1"/>
        <v>NORMAL</v>
      </c>
      <c r="J47" s="4" t="str">
        <f t="shared" si="0"/>
        <v>7</v>
      </c>
    </row>
    <row r="48" spans="1:10">
      <c r="A48" s="2">
        <v>47</v>
      </c>
      <c r="B48" s="3">
        <v>46207</v>
      </c>
      <c r="C48" s="2">
        <v>3</v>
      </c>
      <c r="D48" s="2">
        <v>1</v>
      </c>
      <c r="E48" s="2">
        <v>14.1</v>
      </c>
      <c r="F48" s="2">
        <v>1128</v>
      </c>
      <c r="G48" t="str">
        <f>_xlfn.XLOOKUP(C48,products!A:A,products!B:B)</f>
        <v>Orange</v>
      </c>
      <c r="H48" t="str">
        <f>_xlfn.XLOOKUP(D48,stores!A:A,stores!B:B)</f>
        <v>Bitola</v>
      </c>
      <c r="I48" t="str">
        <f t="shared" si="1"/>
        <v>NORMAL</v>
      </c>
      <c r="J48" s="4" t="str">
        <f t="shared" si="0"/>
        <v>7</v>
      </c>
    </row>
    <row r="49" spans="1:10">
      <c r="A49" s="2">
        <v>48</v>
      </c>
      <c r="B49" s="3">
        <v>46207</v>
      </c>
      <c r="C49" s="2">
        <v>3</v>
      </c>
      <c r="D49" s="2">
        <v>2</v>
      </c>
      <c r="E49" s="2">
        <v>19.2</v>
      </c>
      <c r="F49" s="2">
        <v>1536</v>
      </c>
      <c r="G49" t="str">
        <f>_xlfn.XLOOKUP(C49,products!A:A,products!B:B)</f>
        <v>Orange</v>
      </c>
      <c r="H49" t="str">
        <f>_xlfn.XLOOKUP(D49,stores!A:A,stores!B:B)</f>
        <v>Ohrid</v>
      </c>
      <c r="I49" t="str">
        <f t="shared" si="1"/>
        <v>NORMAL</v>
      </c>
      <c r="J49" s="4" t="str">
        <f t="shared" si="0"/>
        <v>7</v>
      </c>
    </row>
    <row r="50" spans="1:10">
      <c r="A50" s="2">
        <v>49</v>
      </c>
      <c r="B50" s="3">
        <v>46207</v>
      </c>
      <c r="C50" s="2">
        <v>4</v>
      </c>
      <c r="D50" s="2">
        <v>1</v>
      </c>
      <c r="E50" s="2">
        <v>76.5</v>
      </c>
      <c r="F50" s="2">
        <v>1912</v>
      </c>
      <c r="G50" t="str">
        <f>_xlfn.XLOOKUP(C50,products!A:A,products!B:B)</f>
        <v>Watermelon</v>
      </c>
      <c r="H50" t="str">
        <f>_xlfn.XLOOKUP(D50,stores!A:A,stores!B:B)</f>
        <v>Bitola</v>
      </c>
      <c r="I50" t="str">
        <f t="shared" si="1"/>
        <v>BIG</v>
      </c>
      <c r="J50" s="4" t="str">
        <f t="shared" si="0"/>
        <v>7</v>
      </c>
    </row>
    <row r="51" spans="1:10">
      <c r="A51" s="2">
        <v>50</v>
      </c>
      <c r="B51" s="3">
        <v>46207</v>
      </c>
      <c r="C51" s="2">
        <v>4</v>
      </c>
      <c r="D51" s="2">
        <v>2</v>
      </c>
      <c r="E51" s="2">
        <v>104.9</v>
      </c>
      <c r="F51" s="2">
        <v>2622</v>
      </c>
      <c r="G51" t="str">
        <f>_xlfn.XLOOKUP(C51,products!A:A,products!B:B)</f>
        <v>Watermelon</v>
      </c>
      <c r="H51" t="str">
        <f>_xlfn.XLOOKUP(D51,stores!A:A,stores!B:B)</f>
        <v>Ohrid</v>
      </c>
      <c r="I51" t="str">
        <f t="shared" si="1"/>
        <v>BIG</v>
      </c>
      <c r="J51" s="4" t="str">
        <f t="shared" si="0"/>
        <v>7</v>
      </c>
    </row>
    <row r="52" spans="1:10">
      <c r="A52" s="2">
        <v>51</v>
      </c>
      <c r="B52" s="3">
        <v>46207</v>
      </c>
      <c r="C52" s="2">
        <v>5</v>
      </c>
      <c r="D52" s="2">
        <v>1</v>
      </c>
      <c r="E52" s="2">
        <v>5.7</v>
      </c>
      <c r="F52" s="2">
        <v>627</v>
      </c>
      <c r="G52" t="str">
        <f>_xlfn.XLOOKUP(C52,products!A:A,products!B:B)</f>
        <v>Grapes</v>
      </c>
      <c r="H52" t="str">
        <f>_xlfn.XLOOKUP(D52,stores!A:A,stores!B:B)</f>
        <v>Bitola</v>
      </c>
      <c r="I52" t="str">
        <f t="shared" si="1"/>
        <v>NORMAL</v>
      </c>
      <c r="J52" s="4" t="str">
        <f t="shared" si="0"/>
        <v>7</v>
      </c>
    </row>
    <row r="53" spans="1:10">
      <c r="A53" s="2">
        <v>52</v>
      </c>
      <c r="B53" s="3">
        <v>46207</v>
      </c>
      <c r="C53" s="2">
        <v>5</v>
      </c>
      <c r="D53" s="2">
        <v>2</v>
      </c>
      <c r="E53" s="2">
        <v>9.6</v>
      </c>
      <c r="F53" s="2">
        <v>1056</v>
      </c>
      <c r="G53" t="str">
        <f>_xlfn.XLOOKUP(C53,products!A:A,products!B:B)</f>
        <v>Grapes</v>
      </c>
      <c r="H53" t="str">
        <f>_xlfn.XLOOKUP(D53,stores!A:A,stores!B:B)</f>
        <v>Ohrid</v>
      </c>
      <c r="I53" t="str">
        <f t="shared" si="1"/>
        <v>NORMAL</v>
      </c>
      <c r="J53" s="4" t="str">
        <f t="shared" si="0"/>
        <v>7</v>
      </c>
    </row>
    <row r="54" spans="1:10">
      <c r="A54" s="2">
        <v>53</v>
      </c>
      <c r="B54" s="3">
        <v>46207</v>
      </c>
      <c r="C54" s="2">
        <v>6</v>
      </c>
      <c r="D54" s="2">
        <v>1</v>
      </c>
      <c r="E54" s="2">
        <v>9.5</v>
      </c>
      <c r="F54" s="2">
        <v>2090</v>
      </c>
      <c r="G54" t="str">
        <f>_xlfn.XLOOKUP(C54,products!A:A,products!B:B)</f>
        <v>Strawberry</v>
      </c>
      <c r="H54" t="str">
        <f>_xlfn.XLOOKUP(D54,stores!A:A,stores!B:B)</f>
        <v>Bitola</v>
      </c>
      <c r="I54" t="str">
        <f t="shared" si="1"/>
        <v>NORMAL</v>
      </c>
      <c r="J54" s="4" t="str">
        <f t="shared" si="0"/>
        <v>7</v>
      </c>
    </row>
    <row r="55" spans="1:10">
      <c r="A55" s="2">
        <v>54</v>
      </c>
      <c r="B55" s="3">
        <v>46207</v>
      </c>
      <c r="C55" s="2">
        <v>6</v>
      </c>
      <c r="D55" s="2">
        <v>2</v>
      </c>
      <c r="E55" s="2">
        <v>20.5</v>
      </c>
      <c r="F55" s="2">
        <v>4510</v>
      </c>
      <c r="G55" t="str">
        <f>_xlfn.XLOOKUP(C55,products!A:A,products!B:B)</f>
        <v>Strawberry</v>
      </c>
      <c r="H55" t="str">
        <f>_xlfn.XLOOKUP(D55,stores!A:A,stores!B:B)</f>
        <v>Ohrid</v>
      </c>
      <c r="I55" t="str">
        <f t="shared" si="1"/>
        <v>NORMAL</v>
      </c>
      <c r="J55" s="4" t="str">
        <f t="shared" si="0"/>
        <v>7</v>
      </c>
    </row>
    <row r="56" spans="1:10">
      <c r="A56" s="2">
        <v>55</v>
      </c>
      <c r="B56" s="3">
        <v>46207</v>
      </c>
      <c r="C56" s="2">
        <v>7</v>
      </c>
      <c r="D56" s="2">
        <v>1</v>
      </c>
      <c r="E56" s="2">
        <v>23</v>
      </c>
      <c r="F56" s="2">
        <v>2185</v>
      </c>
      <c r="G56" t="str">
        <f>_xlfn.XLOOKUP(C56,products!A:A,products!B:B)</f>
        <v>Peach</v>
      </c>
      <c r="H56" t="str">
        <f>_xlfn.XLOOKUP(D56,stores!A:A,stores!B:B)</f>
        <v>Bitola</v>
      </c>
      <c r="I56" t="str">
        <f t="shared" si="1"/>
        <v>NORMAL</v>
      </c>
      <c r="J56" s="4" t="str">
        <f t="shared" si="0"/>
        <v>7</v>
      </c>
    </row>
    <row r="57" spans="1:10">
      <c r="A57" s="2">
        <v>56</v>
      </c>
      <c r="B57" s="3">
        <v>46207</v>
      </c>
      <c r="C57" s="2">
        <v>7</v>
      </c>
      <c r="D57" s="2">
        <v>2</v>
      </c>
      <c r="E57" s="2">
        <v>30</v>
      </c>
      <c r="F57" s="2">
        <v>2850</v>
      </c>
      <c r="G57" t="str">
        <f>_xlfn.XLOOKUP(C57,products!A:A,products!B:B)</f>
        <v>Peach</v>
      </c>
      <c r="H57" t="str">
        <f>_xlfn.XLOOKUP(D57,stores!A:A,stores!B:B)</f>
        <v>Ohrid</v>
      </c>
      <c r="I57" t="str">
        <f t="shared" si="1"/>
        <v>NORMAL</v>
      </c>
      <c r="J57" s="4" t="str">
        <f t="shared" si="0"/>
        <v>7</v>
      </c>
    </row>
    <row r="58" spans="1:10">
      <c r="A58" s="2">
        <v>57</v>
      </c>
      <c r="B58" s="3">
        <v>46208</v>
      </c>
      <c r="C58" s="2">
        <v>1</v>
      </c>
      <c r="D58" s="2">
        <v>1</v>
      </c>
      <c r="E58" s="2">
        <v>26</v>
      </c>
      <c r="F58" s="2">
        <v>1560</v>
      </c>
      <c r="G58" t="str">
        <f>_xlfn.XLOOKUP(C58,products!A:A,products!B:B)</f>
        <v>Apple</v>
      </c>
      <c r="H58" t="str">
        <f>_xlfn.XLOOKUP(D58,stores!A:A,stores!B:B)</f>
        <v>Bitola</v>
      </c>
      <c r="I58" t="str">
        <f t="shared" si="1"/>
        <v>NORMAL</v>
      </c>
      <c r="J58" s="4" t="str">
        <f t="shared" si="0"/>
        <v>7</v>
      </c>
    </row>
    <row r="59" spans="1:10">
      <c r="A59" s="2">
        <v>58</v>
      </c>
      <c r="B59" s="3">
        <v>46208</v>
      </c>
      <c r="C59" s="2">
        <v>1</v>
      </c>
      <c r="D59" s="2">
        <v>2</v>
      </c>
      <c r="E59" s="2">
        <v>40.5</v>
      </c>
      <c r="F59" s="2">
        <v>2430</v>
      </c>
      <c r="G59" t="str">
        <f>_xlfn.XLOOKUP(C59,products!A:A,products!B:B)</f>
        <v>Apple</v>
      </c>
      <c r="H59" t="str">
        <f>_xlfn.XLOOKUP(D59,stores!A:A,stores!B:B)</f>
        <v>Ohrid</v>
      </c>
      <c r="I59" t="str">
        <f t="shared" si="1"/>
        <v>NORMAL</v>
      </c>
      <c r="J59" s="4" t="str">
        <f t="shared" si="0"/>
        <v>7</v>
      </c>
    </row>
    <row r="60" spans="1:10">
      <c r="A60" s="2">
        <v>59</v>
      </c>
      <c r="B60" s="3">
        <v>46208</v>
      </c>
      <c r="C60" s="2">
        <v>2</v>
      </c>
      <c r="D60" s="2">
        <v>1</v>
      </c>
      <c r="E60" s="2">
        <v>34.4</v>
      </c>
      <c r="F60" s="2">
        <v>3096</v>
      </c>
      <c r="G60" t="str">
        <f>_xlfn.XLOOKUP(C60,products!A:A,products!B:B)</f>
        <v>Banana</v>
      </c>
      <c r="H60" t="str">
        <f>_xlfn.XLOOKUP(D60,stores!A:A,stores!B:B)</f>
        <v>Bitola</v>
      </c>
      <c r="I60" t="str">
        <f t="shared" si="1"/>
        <v>NORMAL</v>
      </c>
      <c r="J60" s="4" t="str">
        <f t="shared" si="0"/>
        <v>7</v>
      </c>
    </row>
    <row r="61" spans="1:10">
      <c r="A61" s="2">
        <v>60</v>
      </c>
      <c r="B61" s="3">
        <v>46208</v>
      </c>
      <c r="C61" s="2">
        <v>2</v>
      </c>
      <c r="D61" s="2">
        <v>2</v>
      </c>
      <c r="E61" s="2">
        <v>51.1</v>
      </c>
      <c r="F61" s="2">
        <v>4599</v>
      </c>
      <c r="G61" t="str">
        <f>_xlfn.XLOOKUP(C61,products!A:A,products!B:B)</f>
        <v>Banana</v>
      </c>
      <c r="H61" t="str">
        <f>_xlfn.XLOOKUP(D61,stores!A:A,stores!B:B)</f>
        <v>Ohrid</v>
      </c>
      <c r="I61" t="str">
        <f t="shared" si="1"/>
        <v>BIG</v>
      </c>
      <c r="J61" s="4" t="str">
        <f t="shared" si="0"/>
        <v>7</v>
      </c>
    </row>
    <row r="62" spans="1:10">
      <c r="A62" s="2">
        <v>61</v>
      </c>
      <c r="B62" s="3">
        <v>46208</v>
      </c>
      <c r="C62" s="2">
        <v>3</v>
      </c>
      <c r="D62" s="2">
        <v>1</v>
      </c>
      <c r="E62" s="2">
        <v>16.1</v>
      </c>
      <c r="F62" s="2">
        <v>1288</v>
      </c>
      <c r="G62" t="str">
        <f>_xlfn.XLOOKUP(C62,products!A:A,products!B:B)</f>
        <v>Orange</v>
      </c>
      <c r="H62" t="str">
        <f>_xlfn.XLOOKUP(D62,stores!A:A,stores!B:B)</f>
        <v>Bitola</v>
      </c>
      <c r="I62" t="str">
        <f t="shared" si="1"/>
        <v>NORMAL</v>
      </c>
      <c r="J62" s="4" t="str">
        <f t="shared" si="0"/>
        <v>7</v>
      </c>
    </row>
    <row r="63" spans="1:10">
      <c r="A63" s="2">
        <v>62</v>
      </c>
      <c r="B63" s="3">
        <v>46208</v>
      </c>
      <c r="C63" s="2">
        <v>3</v>
      </c>
      <c r="D63" s="2">
        <v>2</v>
      </c>
      <c r="E63" s="2">
        <v>17.2</v>
      </c>
      <c r="F63" s="2">
        <v>1376</v>
      </c>
      <c r="G63" t="str">
        <f>_xlfn.XLOOKUP(C63,products!A:A,products!B:B)</f>
        <v>Orange</v>
      </c>
      <c r="H63" t="str">
        <f>_xlfn.XLOOKUP(D63,stores!A:A,stores!B:B)</f>
        <v>Ohrid</v>
      </c>
      <c r="I63" t="str">
        <f t="shared" si="1"/>
        <v>NORMAL</v>
      </c>
      <c r="J63" s="4" t="str">
        <f t="shared" si="0"/>
        <v>7</v>
      </c>
    </row>
    <row r="64" spans="1:10">
      <c r="A64" s="2">
        <v>63</v>
      </c>
      <c r="B64" s="3">
        <v>46208</v>
      </c>
      <c r="C64" s="2">
        <v>4</v>
      </c>
      <c r="D64" s="2">
        <v>1</v>
      </c>
      <c r="E64" s="2">
        <v>62.6</v>
      </c>
      <c r="F64" s="2">
        <v>1565</v>
      </c>
      <c r="G64" t="str">
        <f>_xlfn.XLOOKUP(C64,products!A:A,products!B:B)</f>
        <v>Watermelon</v>
      </c>
      <c r="H64" t="str">
        <f>_xlfn.XLOOKUP(D64,stores!A:A,stores!B:B)</f>
        <v>Bitola</v>
      </c>
      <c r="I64" t="str">
        <f t="shared" si="1"/>
        <v>BIG</v>
      </c>
      <c r="J64" s="4" t="str">
        <f t="shared" si="0"/>
        <v>7</v>
      </c>
    </row>
    <row r="65" spans="1:10">
      <c r="A65" s="2">
        <v>64</v>
      </c>
      <c r="B65" s="3">
        <v>46208</v>
      </c>
      <c r="C65" s="2">
        <v>4</v>
      </c>
      <c r="D65" s="2">
        <v>2</v>
      </c>
      <c r="E65" s="2">
        <v>109.5</v>
      </c>
      <c r="F65" s="2">
        <v>2738</v>
      </c>
      <c r="G65" t="str">
        <f>_xlfn.XLOOKUP(C65,products!A:A,products!B:B)</f>
        <v>Watermelon</v>
      </c>
      <c r="H65" t="str">
        <f>_xlfn.XLOOKUP(D65,stores!A:A,stores!B:B)</f>
        <v>Ohrid</v>
      </c>
      <c r="I65" t="str">
        <f t="shared" si="1"/>
        <v>BIG</v>
      </c>
      <c r="J65" s="4" t="str">
        <f t="shared" si="0"/>
        <v>7</v>
      </c>
    </row>
    <row r="66" spans="1:10">
      <c r="A66" s="2">
        <v>65</v>
      </c>
      <c r="B66" s="3">
        <v>46208</v>
      </c>
      <c r="C66" s="2">
        <v>5</v>
      </c>
      <c r="D66" s="2">
        <v>1</v>
      </c>
      <c r="E66" s="2">
        <v>7.4</v>
      </c>
      <c r="F66" s="2">
        <v>814</v>
      </c>
      <c r="G66" t="str">
        <f>_xlfn.XLOOKUP(C66,products!A:A,products!B:B)</f>
        <v>Grapes</v>
      </c>
      <c r="H66" t="str">
        <f>_xlfn.XLOOKUP(D66,stores!A:A,stores!B:B)</f>
        <v>Bitola</v>
      </c>
      <c r="I66" t="str">
        <f t="shared" ref="I66:I129" si="2">IF(E66&gt;50,"BIG","NORMAL")</f>
        <v>NORMAL</v>
      </c>
      <c r="J66" s="4" t="str">
        <f t="shared" ref="J66:J129" si="3">TEXT(B66,"m")</f>
        <v>7</v>
      </c>
    </row>
    <row r="67" spans="1:10">
      <c r="A67" s="2">
        <v>66</v>
      </c>
      <c r="B67" s="3">
        <v>46208</v>
      </c>
      <c r="C67" s="2">
        <v>5</v>
      </c>
      <c r="D67" s="2">
        <v>2</v>
      </c>
      <c r="E67" s="2">
        <v>6.2</v>
      </c>
      <c r="F67" s="2">
        <v>682</v>
      </c>
      <c r="G67" t="str">
        <f>_xlfn.XLOOKUP(C67,products!A:A,products!B:B)</f>
        <v>Grapes</v>
      </c>
      <c r="H67" t="str">
        <f>_xlfn.XLOOKUP(D67,stores!A:A,stores!B:B)</f>
        <v>Ohrid</v>
      </c>
      <c r="I67" t="str">
        <f t="shared" si="2"/>
        <v>NORMAL</v>
      </c>
      <c r="J67" s="4" t="str">
        <f t="shared" si="3"/>
        <v>7</v>
      </c>
    </row>
    <row r="68" spans="1:10">
      <c r="A68" s="2">
        <v>67</v>
      </c>
      <c r="B68" s="3">
        <v>46208</v>
      </c>
      <c r="C68" s="2">
        <v>6</v>
      </c>
      <c r="D68" s="2">
        <v>1</v>
      </c>
      <c r="E68" s="2">
        <v>10.1</v>
      </c>
      <c r="F68" s="2">
        <v>2222</v>
      </c>
      <c r="G68" t="str">
        <f>_xlfn.XLOOKUP(C68,products!A:A,products!B:B)</f>
        <v>Strawberry</v>
      </c>
      <c r="H68" t="str">
        <f>_xlfn.XLOOKUP(D68,stores!A:A,stores!B:B)</f>
        <v>Bitola</v>
      </c>
      <c r="I68" t="str">
        <f t="shared" si="2"/>
        <v>NORMAL</v>
      </c>
      <c r="J68" s="4" t="str">
        <f t="shared" si="3"/>
        <v>7</v>
      </c>
    </row>
    <row r="69" spans="1:10">
      <c r="A69" s="2">
        <v>68</v>
      </c>
      <c r="B69" s="3">
        <v>46208</v>
      </c>
      <c r="C69" s="2">
        <v>6</v>
      </c>
      <c r="D69" s="2">
        <v>2</v>
      </c>
      <c r="E69" s="2">
        <v>14.7</v>
      </c>
      <c r="F69" s="2">
        <v>3234</v>
      </c>
      <c r="G69" t="str">
        <f>_xlfn.XLOOKUP(C69,products!A:A,products!B:B)</f>
        <v>Strawberry</v>
      </c>
      <c r="H69" t="str">
        <f>_xlfn.XLOOKUP(D69,stores!A:A,stores!B:B)</f>
        <v>Ohrid</v>
      </c>
      <c r="I69" t="str">
        <f t="shared" si="2"/>
        <v>NORMAL</v>
      </c>
      <c r="J69" s="4" t="str">
        <f t="shared" si="3"/>
        <v>7</v>
      </c>
    </row>
    <row r="70" spans="1:10">
      <c r="A70" s="2">
        <v>69</v>
      </c>
      <c r="B70" s="3">
        <v>46208</v>
      </c>
      <c r="C70" s="2">
        <v>7</v>
      </c>
      <c r="D70" s="2">
        <v>1</v>
      </c>
      <c r="E70" s="2">
        <v>25.8</v>
      </c>
      <c r="F70" s="2">
        <v>2451</v>
      </c>
      <c r="G70" t="str">
        <f>_xlfn.XLOOKUP(C70,products!A:A,products!B:B)</f>
        <v>Peach</v>
      </c>
      <c r="H70" t="str">
        <f>_xlfn.XLOOKUP(D70,stores!A:A,stores!B:B)</f>
        <v>Bitola</v>
      </c>
      <c r="I70" t="str">
        <f t="shared" si="2"/>
        <v>NORMAL</v>
      </c>
      <c r="J70" s="4" t="str">
        <f t="shared" si="3"/>
        <v>7</v>
      </c>
    </row>
    <row r="71" spans="1:10">
      <c r="A71" s="2">
        <v>70</v>
      </c>
      <c r="B71" s="3">
        <v>46208</v>
      </c>
      <c r="C71" s="2">
        <v>7</v>
      </c>
      <c r="D71" s="2">
        <v>2</v>
      </c>
      <c r="E71" s="2">
        <v>44.1</v>
      </c>
      <c r="F71" s="2">
        <v>4190</v>
      </c>
      <c r="G71" t="str">
        <f>_xlfn.XLOOKUP(C71,products!A:A,products!B:B)</f>
        <v>Peach</v>
      </c>
      <c r="H71" t="str">
        <f>_xlfn.XLOOKUP(D71,stores!A:A,stores!B:B)</f>
        <v>Ohrid</v>
      </c>
      <c r="I71" t="str">
        <f t="shared" si="2"/>
        <v>NORMAL</v>
      </c>
      <c r="J71" s="4" t="str">
        <f t="shared" si="3"/>
        <v>7</v>
      </c>
    </row>
    <row r="72" spans="1:10">
      <c r="A72" s="2">
        <v>71</v>
      </c>
      <c r="B72" s="3">
        <v>46209</v>
      </c>
      <c r="C72" s="2">
        <v>1</v>
      </c>
      <c r="D72" s="2">
        <v>1</v>
      </c>
      <c r="E72" s="2">
        <v>20.1</v>
      </c>
      <c r="F72" s="2">
        <v>1206</v>
      </c>
      <c r="G72" t="str">
        <f>_xlfn.XLOOKUP(C72,products!A:A,products!B:B)</f>
        <v>Apple</v>
      </c>
      <c r="H72" t="str">
        <f>_xlfn.XLOOKUP(D72,stores!A:A,stores!B:B)</f>
        <v>Bitola</v>
      </c>
      <c r="I72" t="str">
        <f t="shared" si="2"/>
        <v>NORMAL</v>
      </c>
      <c r="J72" s="4" t="str">
        <f t="shared" si="3"/>
        <v>7</v>
      </c>
    </row>
    <row r="73" spans="1:10">
      <c r="A73" s="2">
        <v>72</v>
      </c>
      <c r="B73" s="3">
        <v>46209</v>
      </c>
      <c r="C73" s="2">
        <v>1</v>
      </c>
      <c r="D73" s="2">
        <v>2</v>
      </c>
      <c r="E73" s="2">
        <v>36.9</v>
      </c>
      <c r="F73" s="2">
        <v>2214</v>
      </c>
      <c r="G73" t="str">
        <f>_xlfn.XLOOKUP(C73,products!A:A,products!B:B)</f>
        <v>Apple</v>
      </c>
      <c r="H73" t="str">
        <f>_xlfn.XLOOKUP(D73,stores!A:A,stores!B:B)</f>
        <v>Ohrid</v>
      </c>
      <c r="I73" t="str">
        <f t="shared" si="2"/>
        <v>NORMAL</v>
      </c>
      <c r="J73" s="4" t="str">
        <f t="shared" si="3"/>
        <v>7</v>
      </c>
    </row>
    <row r="74" spans="1:10">
      <c r="A74" s="2">
        <v>73</v>
      </c>
      <c r="B74" s="3">
        <v>46209</v>
      </c>
      <c r="C74" s="2">
        <v>2</v>
      </c>
      <c r="D74" s="2">
        <v>1</v>
      </c>
      <c r="E74" s="2">
        <v>28.1</v>
      </c>
      <c r="F74" s="2">
        <v>2529</v>
      </c>
      <c r="G74" t="str">
        <f>_xlfn.XLOOKUP(C74,products!A:A,products!B:B)</f>
        <v>Banana</v>
      </c>
      <c r="H74" t="str">
        <f>_xlfn.XLOOKUP(D74,stores!A:A,stores!B:B)</f>
        <v>Bitola</v>
      </c>
      <c r="I74" t="str">
        <f t="shared" si="2"/>
        <v>NORMAL</v>
      </c>
      <c r="J74" s="4" t="str">
        <f t="shared" si="3"/>
        <v>7</v>
      </c>
    </row>
    <row r="75" spans="1:10">
      <c r="A75" s="2">
        <v>74</v>
      </c>
      <c r="B75" s="3">
        <v>46209</v>
      </c>
      <c r="C75" s="2">
        <v>2</v>
      </c>
      <c r="D75" s="2">
        <v>2</v>
      </c>
      <c r="E75" s="2">
        <v>30.7</v>
      </c>
      <c r="F75" s="2">
        <v>2763</v>
      </c>
      <c r="G75" t="str">
        <f>_xlfn.XLOOKUP(C75,products!A:A,products!B:B)</f>
        <v>Banana</v>
      </c>
      <c r="H75" t="str">
        <f>_xlfn.XLOOKUP(D75,stores!A:A,stores!B:B)</f>
        <v>Ohrid</v>
      </c>
      <c r="I75" t="str">
        <f t="shared" si="2"/>
        <v>NORMAL</v>
      </c>
      <c r="J75" s="4" t="str">
        <f t="shared" si="3"/>
        <v>7</v>
      </c>
    </row>
    <row r="76" spans="1:10">
      <c r="A76" s="2">
        <v>75</v>
      </c>
      <c r="B76" s="3">
        <v>46209</v>
      </c>
      <c r="C76" s="2">
        <v>3</v>
      </c>
      <c r="D76" s="2">
        <v>1</v>
      </c>
      <c r="E76" s="2">
        <v>8.9</v>
      </c>
      <c r="F76" s="2">
        <v>712</v>
      </c>
      <c r="G76" t="str">
        <f>_xlfn.XLOOKUP(C76,products!A:A,products!B:B)</f>
        <v>Orange</v>
      </c>
      <c r="H76" t="str">
        <f>_xlfn.XLOOKUP(D76,stores!A:A,stores!B:B)</f>
        <v>Bitola</v>
      </c>
      <c r="I76" t="str">
        <f t="shared" si="2"/>
        <v>NORMAL</v>
      </c>
      <c r="J76" s="4" t="str">
        <f t="shared" si="3"/>
        <v>7</v>
      </c>
    </row>
    <row r="77" spans="1:10">
      <c r="A77" s="2">
        <v>76</v>
      </c>
      <c r="B77" s="3">
        <v>46209</v>
      </c>
      <c r="C77" s="2">
        <v>3</v>
      </c>
      <c r="D77" s="2">
        <v>2</v>
      </c>
      <c r="E77" s="2">
        <v>11.7</v>
      </c>
      <c r="F77" s="2">
        <v>936</v>
      </c>
      <c r="G77" t="str">
        <f>_xlfn.XLOOKUP(C77,products!A:A,products!B:B)</f>
        <v>Orange</v>
      </c>
      <c r="H77" t="str">
        <f>_xlfn.XLOOKUP(D77,stores!A:A,stores!B:B)</f>
        <v>Ohrid</v>
      </c>
      <c r="I77" t="str">
        <f t="shared" si="2"/>
        <v>NORMAL</v>
      </c>
      <c r="J77" s="4" t="str">
        <f t="shared" si="3"/>
        <v>7</v>
      </c>
    </row>
    <row r="78" spans="1:10">
      <c r="A78" s="2">
        <v>77</v>
      </c>
      <c r="B78" s="3">
        <v>46209</v>
      </c>
      <c r="C78" s="2">
        <v>4</v>
      </c>
      <c r="D78" s="2">
        <v>1</v>
      </c>
      <c r="E78" s="2">
        <v>83.3</v>
      </c>
      <c r="F78" s="2">
        <v>2082</v>
      </c>
      <c r="G78" t="str">
        <f>_xlfn.XLOOKUP(C78,products!A:A,products!B:B)</f>
        <v>Watermelon</v>
      </c>
      <c r="H78" t="str">
        <f>_xlfn.XLOOKUP(D78,stores!A:A,stores!B:B)</f>
        <v>Bitola</v>
      </c>
      <c r="I78" t="str">
        <f t="shared" si="2"/>
        <v>BIG</v>
      </c>
      <c r="J78" s="4" t="str">
        <f t="shared" si="3"/>
        <v>7</v>
      </c>
    </row>
    <row r="79" spans="1:10">
      <c r="A79" s="2">
        <v>78</v>
      </c>
      <c r="B79" s="3">
        <v>46209</v>
      </c>
      <c r="C79" s="2">
        <v>4</v>
      </c>
      <c r="D79" s="2">
        <v>2</v>
      </c>
      <c r="E79" s="2">
        <v>86.9</v>
      </c>
      <c r="F79" s="2">
        <v>2172</v>
      </c>
      <c r="G79" t="str">
        <f>_xlfn.XLOOKUP(C79,products!A:A,products!B:B)</f>
        <v>Watermelon</v>
      </c>
      <c r="H79" t="str">
        <f>_xlfn.XLOOKUP(D79,stores!A:A,stores!B:B)</f>
        <v>Ohrid</v>
      </c>
      <c r="I79" t="str">
        <f t="shared" si="2"/>
        <v>BIG</v>
      </c>
      <c r="J79" s="4" t="str">
        <f t="shared" si="3"/>
        <v>7</v>
      </c>
    </row>
    <row r="80" spans="1:10">
      <c r="A80" s="2">
        <v>79</v>
      </c>
      <c r="B80" s="3">
        <v>46209</v>
      </c>
      <c r="C80" s="2">
        <v>5</v>
      </c>
      <c r="D80" s="2">
        <v>1</v>
      </c>
      <c r="E80" s="2">
        <v>4.9</v>
      </c>
      <c r="F80" s="2">
        <v>539</v>
      </c>
      <c r="G80" t="str">
        <f>_xlfn.XLOOKUP(C80,products!A:A,products!B:B)</f>
        <v>Grapes</v>
      </c>
      <c r="H80" t="str">
        <f>_xlfn.XLOOKUP(D80,stores!A:A,stores!B:B)</f>
        <v>Bitola</v>
      </c>
      <c r="I80" t="str">
        <f t="shared" si="2"/>
        <v>NORMAL</v>
      </c>
      <c r="J80" s="4" t="str">
        <f t="shared" si="3"/>
        <v>7</v>
      </c>
    </row>
    <row r="81" spans="1:10">
      <c r="A81" s="2">
        <v>80</v>
      </c>
      <c r="B81" s="3">
        <v>46209</v>
      </c>
      <c r="C81" s="2">
        <v>5</v>
      </c>
      <c r="D81" s="2">
        <v>2</v>
      </c>
      <c r="E81" s="2">
        <v>8</v>
      </c>
      <c r="F81" s="2">
        <v>880</v>
      </c>
      <c r="G81" t="str">
        <f>_xlfn.XLOOKUP(C81,products!A:A,products!B:B)</f>
        <v>Grapes</v>
      </c>
      <c r="H81" t="str">
        <f>_xlfn.XLOOKUP(D81,stores!A:A,stores!B:B)</f>
        <v>Ohrid</v>
      </c>
      <c r="I81" t="str">
        <f t="shared" si="2"/>
        <v>NORMAL</v>
      </c>
      <c r="J81" s="4" t="str">
        <f t="shared" si="3"/>
        <v>7</v>
      </c>
    </row>
    <row r="82" spans="1:10">
      <c r="A82" s="2">
        <v>81</v>
      </c>
      <c r="B82" s="3">
        <v>46209</v>
      </c>
      <c r="C82" s="2">
        <v>6</v>
      </c>
      <c r="D82" s="2">
        <v>1</v>
      </c>
      <c r="E82" s="2">
        <v>6.8</v>
      </c>
      <c r="F82" s="2">
        <v>1496</v>
      </c>
      <c r="G82" t="str">
        <f>_xlfn.XLOOKUP(C82,products!A:A,products!B:B)</f>
        <v>Strawberry</v>
      </c>
      <c r="H82" t="str">
        <f>_xlfn.XLOOKUP(D82,stores!A:A,stores!B:B)</f>
        <v>Bitola</v>
      </c>
      <c r="I82" t="str">
        <f t="shared" si="2"/>
        <v>NORMAL</v>
      </c>
      <c r="J82" s="4" t="str">
        <f t="shared" si="3"/>
        <v>7</v>
      </c>
    </row>
    <row r="83" spans="1:10">
      <c r="A83" s="2">
        <v>82</v>
      </c>
      <c r="B83" s="3">
        <v>46209</v>
      </c>
      <c r="C83" s="2">
        <v>6</v>
      </c>
      <c r="D83" s="2">
        <v>2</v>
      </c>
      <c r="E83" s="2">
        <v>10.5</v>
      </c>
      <c r="F83" s="2">
        <v>2310</v>
      </c>
      <c r="G83" t="str">
        <f>_xlfn.XLOOKUP(C83,products!A:A,products!B:B)</f>
        <v>Strawberry</v>
      </c>
      <c r="H83" t="str">
        <f>_xlfn.XLOOKUP(D83,stores!A:A,stores!B:B)</f>
        <v>Ohrid</v>
      </c>
      <c r="I83" t="str">
        <f t="shared" si="2"/>
        <v>NORMAL</v>
      </c>
      <c r="J83" s="4" t="str">
        <f t="shared" si="3"/>
        <v>7</v>
      </c>
    </row>
    <row r="84" spans="1:10">
      <c r="A84" s="2">
        <v>83</v>
      </c>
      <c r="B84" s="3">
        <v>46209</v>
      </c>
      <c r="C84" s="2">
        <v>7</v>
      </c>
      <c r="D84" s="2">
        <v>1</v>
      </c>
      <c r="E84" s="2">
        <v>13.9</v>
      </c>
      <c r="F84" s="2">
        <v>1320</v>
      </c>
      <c r="G84" t="str">
        <f>_xlfn.XLOOKUP(C84,products!A:A,products!B:B)</f>
        <v>Peach</v>
      </c>
      <c r="H84" t="str">
        <f>_xlfn.XLOOKUP(D84,stores!A:A,stores!B:B)</f>
        <v>Bitola</v>
      </c>
      <c r="I84" t="str">
        <f t="shared" si="2"/>
        <v>NORMAL</v>
      </c>
      <c r="J84" s="4" t="str">
        <f t="shared" si="3"/>
        <v>7</v>
      </c>
    </row>
    <row r="85" spans="1:10">
      <c r="A85" s="2">
        <v>84</v>
      </c>
      <c r="B85" s="3">
        <v>46209</v>
      </c>
      <c r="C85" s="2">
        <v>7</v>
      </c>
      <c r="D85" s="2">
        <v>2</v>
      </c>
      <c r="E85" s="2">
        <v>24.1</v>
      </c>
      <c r="F85" s="2">
        <v>2290</v>
      </c>
      <c r="G85" t="str">
        <f>_xlfn.XLOOKUP(C85,products!A:A,products!B:B)</f>
        <v>Peach</v>
      </c>
      <c r="H85" t="str">
        <f>_xlfn.XLOOKUP(D85,stores!A:A,stores!B:B)</f>
        <v>Ohrid</v>
      </c>
      <c r="I85" t="str">
        <f t="shared" si="2"/>
        <v>NORMAL</v>
      </c>
      <c r="J85" s="4" t="str">
        <f t="shared" si="3"/>
        <v>7</v>
      </c>
    </row>
    <row r="86" spans="1:10">
      <c r="A86" s="2">
        <v>85</v>
      </c>
      <c r="B86" s="3">
        <v>46210</v>
      </c>
      <c r="C86" s="2">
        <v>1</v>
      </c>
      <c r="D86" s="2">
        <v>1</v>
      </c>
      <c r="E86" s="2">
        <v>16</v>
      </c>
      <c r="F86" s="2">
        <v>960</v>
      </c>
      <c r="G86" t="str">
        <f>_xlfn.XLOOKUP(C86,products!A:A,products!B:B)</f>
        <v>Apple</v>
      </c>
      <c r="H86" t="str">
        <f>_xlfn.XLOOKUP(D86,stores!A:A,stores!B:B)</f>
        <v>Bitola</v>
      </c>
      <c r="I86" t="str">
        <f t="shared" si="2"/>
        <v>NORMAL</v>
      </c>
      <c r="J86" s="4" t="str">
        <f t="shared" si="3"/>
        <v>7</v>
      </c>
    </row>
    <row r="87" spans="1:10">
      <c r="A87" s="2">
        <v>86</v>
      </c>
      <c r="B87" s="3">
        <v>46210</v>
      </c>
      <c r="C87" s="2">
        <v>1</v>
      </c>
      <c r="D87" s="2">
        <v>2</v>
      </c>
      <c r="E87" s="2">
        <v>27.3</v>
      </c>
      <c r="F87" s="2">
        <v>1638</v>
      </c>
      <c r="G87" t="str">
        <f>_xlfn.XLOOKUP(C87,products!A:A,products!B:B)</f>
        <v>Apple</v>
      </c>
      <c r="H87" t="str">
        <f>_xlfn.XLOOKUP(D87,stores!A:A,stores!B:B)</f>
        <v>Ohrid</v>
      </c>
      <c r="I87" t="str">
        <f t="shared" si="2"/>
        <v>NORMAL</v>
      </c>
      <c r="J87" s="4" t="str">
        <f t="shared" si="3"/>
        <v>7</v>
      </c>
    </row>
    <row r="88" spans="1:10">
      <c r="A88" s="2">
        <v>87</v>
      </c>
      <c r="B88" s="3">
        <v>46210</v>
      </c>
      <c r="C88" s="2">
        <v>2</v>
      </c>
      <c r="D88" s="2">
        <v>1</v>
      </c>
      <c r="E88" s="2">
        <v>31</v>
      </c>
      <c r="F88" s="2">
        <v>2790</v>
      </c>
      <c r="G88" t="str">
        <f>_xlfn.XLOOKUP(C88,products!A:A,products!B:B)</f>
        <v>Banana</v>
      </c>
      <c r="H88" t="str">
        <f>_xlfn.XLOOKUP(D88,stores!A:A,stores!B:B)</f>
        <v>Bitola</v>
      </c>
      <c r="I88" t="str">
        <f t="shared" si="2"/>
        <v>NORMAL</v>
      </c>
      <c r="J88" s="4" t="str">
        <f t="shared" si="3"/>
        <v>7</v>
      </c>
    </row>
    <row r="89" spans="1:10">
      <c r="A89" s="2">
        <v>88</v>
      </c>
      <c r="B89" s="3">
        <v>46210</v>
      </c>
      <c r="C89" s="2">
        <v>2</v>
      </c>
      <c r="D89" s="2">
        <v>2</v>
      </c>
      <c r="E89" s="2">
        <v>34.9</v>
      </c>
      <c r="F89" s="2">
        <v>3141</v>
      </c>
      <c r="G89" t="str">
        <f>_xlfn.XLOOKUP(C89,products!A:A,products!B:B)</f>
        <v>Banana</v>
      </c>
      <c r="H89" t="str">
        <f>_xlfn.XLOOKUP(D89,stores!A:A,stores!B:B)</f>
        <v>Ohrid</v>
      </c>
      <c r="I89" t="str">
        <f t="shared" si="2"/>
        <v>NORMAL</v>
      </c>
      <c r="J89" s="4" t="str">
        <f t="shared" si="3"/>
        <v>7</v>
      </c>
    </row>
    <row r="90" spans="1:10">
      <c r="A90" s="2">
        <v>89</v>
      </c>
      <c r="B90" s="3">
        <v>46210</v>
      </c>
      <c r="C90" s="2">
        <v>3</v>
      </c>
      <c r="D90" s="2">
        <v>1</v>
      </c>
      <c r="E90" s="2">
        <v>10.5</v>
      </c>
      <c r="F90" s="2">
        <v>840</v>
      </c>
      <c r="G90" t="str">
        <f>_xlfn.XLOOKUP(C90,products!A:A,products!B:B)</f>
        <v>Orange</v>
      </c>
      <c r="H90" t="str">
        <f>_xlfn.XLOOKUP(D90,stores!A:A,stores!B:B)</f>
        <v>Bitola</v>
      </c>
      <c r="I90" t="str">
        <f t="shared" si="2"/>
        <v>NORMAL</v>
      </c>
      <c r="J90" s="4" t="str">
        <f t="shared" si="3"/>
        <v>7</v>
      </c>
    </row>
    <row r="91" spans="1:10">
      <c r="A91" s="2">
        <v>90</v>
      </c>
      <c r="B91" s="3">
        <v>46210</v>
      </c>
      <c r="C91" s="2">
        <v>3</v>
      </c>
      <c r="D91" s="2">
        <v>2</v>
      </c>
      <c r="E91" s="2">
        <v>14.5</v>
      </c>
      <c r="F91" s="2">
        <v>1160</v>
      </c>
      <c r="G91" t="str">
        <f>_xlfn.XLOOKUP(C91,products!A:A,products!B:B)</f>
        <v>Orange</v>
      </c>
      <c r="H91" t="str">
        <f>_xlfn.XLOOKUP(D91,stores!A:A,stores!B:B)</f>
        <v>Ohrid</v>
      </c>
      <c r="I91" t="str">
        <f t="shared" si="2"/>
        <v>NORMAL</v>
      </c>
      <c r="J91" s="4" t="str">
        <f t="shared" si="3"/>
        <v>7</v>
      </c>
    </row>
    <row r="92" spans="1:10">
      <c r="A92" s="2">
        <v>91</v>
      </c>
      <c r="B92" s="3">
        <v>46210</v>
      </c>
      <c r="C92" s="2">
        <v>4</v>
      </c>
      <c r="D92" s="2">
        <v>1</v>
      </c>
      <c r="E92" s="2">
        <v>85.2</v>
      </c>
      <c r="F92" s="2">
        <v>2130</v>
      </c>
      <c r="G92" t="str">
        <f>_xlfn.XLOOKUP(C92,products!A:A,products!B:B)</f>
        <v>Watermelon</v>
      </c>
      <c r="H92" t="str">
        <f>_xlfn.XLOOKUP(D92,stores!A:A,stores!B:B)</f>
        <v>Bitola</v>
      </c>
      <c r="I92" t="str">
        <f t="shared" si="2"/>
        <v>BIG</v>
      </c>
      <c r="J92" s="4" t="str">
        <f t="shared" si="3"/>
        <v>7</v>
      </c>
    </row>
    <row r="93" spans="1:10">
      <c r="A93" s="2">
        <v>92</v>
      </c>
      <c r="B93" s="3">
        <v>46210</v>
      </c>
      <c r="C93" s="2">
        <v>4</v>
      </c>
      <c r="D93" s="2">
        <v>2</v>
      </c>
      <c r="E93" s="2">
        <v>115.5</v>
      </c>
      <c r="F93" s="2">
        <v>2888</v>
      </c>
      <c r="G93" t="str">
        <f>_xlfn.XLOOKUP(C93,products!A:A,products!B:B)</f>
        <v>Watermelon</v>
      </c>
      <c r="H93" t="str">
        <f>_xlfn.XLOOKUP(D93,stores!A:A,stores!B:B)</f>
        <v>Ohrid</v>
      </c>
      <c r="I93" t="str">
        <f t="shared" si="2"/>
        <v>BIG</v>
      </c>
      <c r="J93" s="4" t="str">
        <f t="shared" si="3"/>
        <v>7</v>
      </c>
    </row>
    <row r="94" spans="1:10">
      <c r="A94" s="2">
        <v>93</v>
      </c>
      <c r="B94" s="3">
        <v>46210</v>
      </c>
      <c r="C94" s="2">
        <v>5</v>
      </c>
      <c r="D94" s="2">
        <v>1</v>
      </c>
      <c r="E94" s="2">
        <v>5.3</v>
      </c>
      <c r="F94" s="2">
        <v>583</v>
      </c>
      <c r="G94" t="str">
        <f>_xlfn.XLOOKUP(C94,products!A:A,products!B:B)</f>
        <v>Grapes</v>
      </c>
      <c r="H94" t="str">
        <f>_xlfn.XLOOKUP(D94,stores!A:A,stores!B:B)</f>
        <v>Bitola</v>
      </c>
      <c r="I94" t="str">
        <f t="shared" si="2"/>
        <v>NORMAL</v>
      </c>
      <c r="J94" s="4" t="str">
        <f t="shared" si="3"/>
        <v>7</v>
      </c>
    </row>
    <row r="95" spans="1:10">
      <c r="A95" s="2">
        <v>94</v>
      </c>
      <c r="B95" s="3">
        <v>46210</v>
      </c>
      <c r="C95" s="2">
        <v>5</v>
      </c>
      <c r="D95" s="2">
        <v>2</v>
      </c>
      <c r="E95" s="2">
        <v>5.6</v>
      </c>
      <c r="F95" s="2">
        <v>616</v>
      </c>
      <c r="G95" t="str">
        <f>_xlfn.XLOOKUP(C95,products!A:A,products!B:B)</f>
        <v>Grapes</v>
      </c>
      <c r="H95" t="str">
        <f>_xlfn.XLOOKUP(D95,stores!A:A,stores!B:B)</f>
        <v>Ohrid</v>
      </c>
      <c r="I95" t="str">
        <f t="shared" si="2"/>
        <v>NORMAL</v>
      </c>
      <c r="J95" s="4" t="str">
        <f t="shared" si="3"/>
        <v>7</v>
      </c>
    </row>
    <row r="96" spans="1:10">
      <c r="A96" s="2">
        <v>95</v>
      </c>
      <c r="B96" s="3">
        <v>46210</v>
      </c>
      <c r="C96" s="2">
        <v>6</v>
      </c>
      <c r="D96" s="2">
        <v>1</v>
      </c>
      <c r="E96" s="2">
        <v>9.4</v>
      </c>
      <c r="F96" s="2">
        <v>2068</v>
      </c>
      <c r="G96" t="str">
        <f>_xlfn.XLOOKUP(C96,products!A:A,products!B:B)</f>
        <v>Strawberry</v>
      </c>
      <c r="H96" t="str">
        <f>_xlfn.XLOOKUP(D96,stores!A:A,stores!B:B)</f>
        <v>Bitola</v>
      </c>
      <c r="I96" t="str">
        <f t="shared" si="2"/>
        <v>NORMAL</v>
      </c>
      <c r="J96" s="4" t="str">
        <f t="shared" si="3"/>
        <v>7</v>
      </c>
    </row>
    <row r="97" spans="1:10">
      <c r="A97" s="2">
        <v>96</v>
      </c>
      <c r="B97" s="3">
        <v>46210</v>
      </c>
      <c r="C97" s="2">
        <v>6</v>
      </c>
      <c r="D97" s="2">
        <v>2</v>
      </c>
      <c r="E97" s="2">
        <v>12.1</v>
      </c>
      <c r="F97" s="2">
        <v>2662</v>
      </c>
      <c r="G97" t="str">
        <f>_xlfn.XLOOKUP(C97,products!A:A,products!B:B)</f>
        <v>Strawberry</v>
      </c>
      <c r="H97" t="str">
        <f>_xlfn.XLOOKUP(D97,stores!A:A,stores!B:B)</f>
        <v>Ohrid</v>
      </c>
      <c r="I97" t="str">
        <f t="shared" si="2"/>
        <v>NORMAL</v>
      </c>
      <c r="J97" s="4" t="str">
        <f t="shared" si="3"/>
        <v>7</v>
      </c>
    </row>
    <row r="98" spans="1:10">
      <c r="A98" s="2">
        <v>97</v>
      </c>
      <c r="B98" s="3">
        <v>46210</v>
      </c>
      <c r="C98" s="2">
        <v>7</v>
      </c>
      <c r="D98" s="2">
        <v>1</v>
      </c>
      <c r="E98" s="2">
        <v>27.4</v>
      </c>
      <c r="F98" s="2">
        <v>2603</v>
      </c>
      <c r="G98" t="str">
        <f>_xlfn.XLOOKUP(C98,products!A:A,products!B:B)</f>
        <v>Peach</v>
      </c>
      <c r="H98" t="str">
        <f>_xlfn.XLOOKUP(D98,stores!A:A,stores!B:B)</f>
        <v>Bitola</v>
      </c>
      <c r="I98" t="str">
        <f t="shared" si="2"/>
        <v>NORMAL</v>
      </c>
      <c r="J98" s="4" t="str">
        <f t="shared" si="3"/>
        <v>7</v>
      </c>
    </row>
    <row r="99" spans="1:10">
      <c r="A99" s="2">
        <v>98</v>
      </c>
      <c r="B99" s="3">
        <v>46210</v>
      </c>
      <c r="C99" s="2">
        <v>7</v>
      </c>
      <c r="D99" s="2">
        <v>2</v>
      </c>
      <c r="E99" s="2">
        <v>30.6</v>
      </c>
      <c r="F99" s="2">
        <v>2907</v>
      </c>
      <c r="G99" t="str">
        <f>_xlfn.XLOOKUP(C99,products!A:A,products!B:B)</f>
        <v>Peach</v>
      </c>
      <c r="H99" t="str">
        <f>_xlfn.XLOOKUP(D99,stores!A:A,stores!B:B)</f>
        <v>Ohrid</v>
      </c>
      <c r="I99" t="str">
        <f t="shared" si="2"/>
        <v>NORMAL</v>
      </c>
      <c r="J99" s="4" t="str">
        <f t="shared" si="3"/>
        <v>7</v>
      </c>
    </row>
    <row r="100" spans="1:10">
      <c r="A100" s="2">
        <v>99</v>
      </c>
      <c r="B100" s="3">
        <v>46211</v>
      </c>
      <c r="C100" s="2">
        <v>1</v>
      </c>
      <c r="D100" s="2">
        <v>1</v>
      </c>
      <c r="E100" s="2">
        <v>25</v>
      </c>
      <c r="F100" s="2">
        <v>1500</v>
      </c>
      <c r="G100" t="str">
        <f>_xlfn.XLOOKUP(C100,products!A:A,products!B:B)</f>
        <v>Apple</v>
      </c>
      <c r="H100" t="str">
        <f>_xlfn.XLOOKUP(D100,stores!A:A,stores!B:B)</f>
        <v>Bitola</v>
      </c>
      <c r="I100" t="str">
        <f t="shared" si="2"/>
        <v>NORMAL</v>
      </c>
      <c r="J100" s="4" t="str">
        <f t="shared" si="3"/>
        <v>7</v>
      </c>
    </row>
    <row r="101" spans="1:10">
      <c r="A101" s="2">
        <v>100</v>
      </c>
      <c r="B101" s="3">
        <v>46211</v>
      </c>
      <c r="C101" s="2">
        <v>1</v>
      </c>
      <c r="D101" s="2">
        <v>2</v>
      </c>
      <c r="E101" s="2">
        <v>23.4</v>
      </c>
      <c r="F101" s="2">
        <v>1404</v>
      </c>
      <c r="G101" t="str">
        <f>_xlfn.XLOOKUP(C101,products!A:A,products!B:B)</f>
        <v>Apple</v>
      </c>
      <c r="H101" t="str">
        <f>_xlfn.XLOOKUP(D101,stores!A:A,stores!B:B)</f>
        <v>Ohrid</v>
      </c>
      <c r="I101" t="str">
        <f t="shared" si="2"/>
        <v>NORMAL</v>
      </c>
      <c r="J101" s="4" t="str">
        <f t="shared" si="3"/>
        <v>7</v>
      </c>
    </row>
    <row r="102" spans="1:10">
      <c r="A102" s="2">
        <v>101</v>
      </c>
      <c r="B102" s="3">
        <v>46211</v>
      </c>
      <c r="C102" s="2">
        <v>2</v>
      </c>
      <c r="D102" s="2">
        <v>1</v>
      </c>
      <c r="E102" s="2">
        <v>33</v>
      </c>
      <c r="F102" s="2">
        <v>2970</v>
      </c>
      <c r="G102" t="str">
        <f>_xlfn.XLOOKUP(C102,products!A:A,products!B:B)</f>
        <v>Banana</v>
      </c>
      <c r="H102" t="str">
        <f>_xlfn.XLOOKUP(D102,stores!A:A,stores!B:B)</f>
        <v>Bitola</v>
      </c>
      <c r="I102" t="str">
        <f t="shared" si="2"/>
        <v>NORMAL</v>
      </c>
      <c r="J102" s="4" t="str">
        <f t="shared" si="3"/>
        <v>7</v>
      </c>
    </row>
    <row r="103" spans="1:10">
      <c r="A103" s="2">
        <v>102</v>
      </c>
      <c r="B103" s="3">
        <v>46211</v>
      </c>
      <c r="C103" s="2">
        <v>2</v>
      </c>
      <c r="D103" s="2">
        <v>2</v>
      </c>
      <c r="E103" s="2">
        <v>35.8</v>
      </c>
      <c r="F103" s="2">
        <v>3222</v>
      </c>
      <c r="G103" t="str">
        <f>_xlfn.XLOOKUP(C103,products!A:A,products!B:B)</f>
        <v>Banana</v>
      </c>
      <c r="H103" t="str">
        <f>_xlfn.XLOOKUP(D103,stores!A:A,stores!B:B)</f>
        <v>Ohrid</v>
      </c>
      <c r="I103" t="str">
        <f t="shared" si="2"/>
        <v>NORMAL</v>
      </c>
      <c r="J103" s="4" t="str">
        <f t="shared" si="3"/>
        <v>7</v>
      </c>
    </row>
    <row r="104" spans="1:10">
      <c r="A104" s="2">
        <v>103</v>
      </c>
      <c r="B104" s="3">
        <v>46211</v>
      </c>
      <c r="C104" s="2">
        <v>3</v>
      </c>
      <c r="D104" s="2">
        <v>1</v>
      </c>
      <c r="E104" s="2">
        <v>9</v>
      </c>
      <c r="F104" s="2">
        <v>720</v>
      </c>
      <c r="G104" t="str">
        <f>_xlfn.XLOOKUP(C104,products!A:A,products!B:B)</f>
        <v>Orange</v>
      </c>
      <c r="H104" t="str">
        <f>_xlfn.XLOOKUP(D104,stores!A:A,stores!B:B)</f>
        <v>Bitola</v>
      </c>
      <c r="I104" t="str">
        <f t="shared" si="2"/>
        <v>NORMAL</v>
      </c>
      <c r="J104" s="4" t="str">
        <f t="shared" si="3"/>
        <v>7</v>
      </c>
    </row>
    <row r="105" spans="1:10">
      <c r="A105" s="2">
        <v>104</v>
      </c>
      <c r="B105" s="3">
        <v>46211</v>
      </c>
      <c r="C105" s="2">
        <v>3</v>
      </c>
      <c r="D105" s="2">
        <v>2</v>
      </c>
      <c r="E105" s="2">
        <v>10.8</v>
      </c>
      <c r="F105" s="2">
        <v>864</v>
      </c>
      <c r="G105" t="str">
        <f>_xlfn.XLOOKUP(C105,products!A:A,products!B:B)</f>
        <v>Orange</v>
      </c>
      <c r="H105" t="str">
        <f>_xlfn.XLOOKUP(D105,stores!A:A,stores!B:B)</f>
        <v>Ohrid</v>
      </c>
      <c r="I105" t="str">
        <f t="shared" si="2"/>
        <v>NORMAL</v>
      </c>
      <c r="J105" s="4" t="str">
        <f t="shared" si="3"/>
        <v>7</v>
      </c>
    </row>
    <row r="106" spans="1:10">
      <c r="A106" s="2">
        <v>105</v>
      </c>
      <c r="B106" s="3">
        <v>46211</v>
      </c>
      <c r="C106" s="2">
        <v>4</v>
      </c>
      <c r="D106" s="2">
        <v>1</v>
      </c>
      <c r="E106" s="2">
        <v>67.9</v>
      </c>
      <c r="F106" s="2">
        <v>1698</v>
      </c>
      <c r="G106" t="str">
        <f>_xlfn.XLOOKUP(C106,products!A:A,products!B:B)</f>
        <v>Watermelon</v>
      </c>
      <c r="H106" t="str">
        <f>_xlfn.XLOOKUP(D106,stores!A:A,stores!B:B)</f>
        <v>Bitola</v>
      </c>
      <c r="I106" t="str">
        <f t="shared" si="2"/>
        <v>BIG</v>
      </c>
      <c r="J106" s="4" t="str">
        <f t="shared" si="3"/>
        <v>7</v>
      </c>
    </row>
    <row r="107" spans="1:10">
      <c r="A107" s="2">
        <v>106</v>
      </c>
      <c r="B107" s="3">
        <v>46211</v>
      </c>
      <c r="C107" s="2">
        <v>4</v>
      </c>
      <c r="D107" s="2">
        <v>2</v>
      </c>
      <c r="E107" s="2">
        <v>125.9</v>
      </c>
      <c r="F107" s="2">
        <v>3148</v>
      </c>
      <c r="G107" t="str">
        <f>_xlfn.XLOOKUP(C107,products!A:A,products!B:B)</f>
        <v>Watermelon</v>
      </c>
      <c r="H107" t="str">
        <f>_xlfn.XLOOKUP(D107,stores!A:A,stores!B:B)</f>
        <v>Ohrid</v>
      </c>
      <c r="I107" t="str">
        <f t="shared" si="2"/>
        <v>BIG</v>
      </c>
      <c r="J107" s="4" t="str">
        <f t="shared" si="3"/>
        <v>7</v>
      </c>
    </row>
    <row r="108" spans="1:10">
      <c r="A108" s="2">
        <v>107</v>
      </c>
      <c r="B108" s="3">
        <v>46211</v>
      </c>
      <c r="C108" s="2">
        <v>5</v>
      </c>
      <c r="D108" s="2">
        <v>1</v>
      </c>
      <c r="E108" s="2">
        <v>5.8</v>
      </c>
      <c r="F108" s="2">
        <v>638</v>
      </c>
      <c r="G108" t="str">
        <f>_xlfn.XLOOKUP(C108,products!A:A,products!B:B)</f>
        <v>Grapes</v>
      </c>
      <c r="H108" t="str">
        <f>_xlfn.XLOOKUP(D108,stores!A:A,stores!B:B)</f>
        <v>Bitola</v>
      </c>
      <c r="I108" t="str">
        <f t="shared" si="2"/>
        <v>NORMAL</v>
      </c>
      <c r="J108" s="4" t="str">
        <f t="shared" si="3"/>
        <v>7</v>
      </c>
    </row>
    <row r="109" spans="1:10">
      <c r="A109" s="2">
        <v>108</v>
      </c>
      <c r="B109" s="3">
        <v>46211</v>
      </c>
      <c r="C109" s="2">
        <v>5</v>
      </c>
      <c r="D109" s="2">
        <v>2</v>
      </c>
      <c r="E109" s="2">
        <v>8</v>
      </c>
      <c r="F109" s="2">
        <v>880</v>
      </c>
      <c r="G109" t="str">
        <f>_xlfn.XLOOKUP(C109,products!A:A,products!B:B)</f>
        <v>Grapes</v>
      </c>
      <c r="H109" t="str">
        <f>_xlfn.XLOOKUP(D109,stores!A:A,stores!B:B)</f>
        <v>Ohrid</v>
      </c>
      <c r="I109" t="str">
        <f t="shared" si="2"/>
        <v>NORMAL</v>
      </c>
      <c r="J109" s="4" t="str">
        <f t="shared" si="3"/>
        <v>7</v>
      </c>
    </row>
    <row r="110" spans="1:10">
      <c r="A110" s="2">
        <v>109</v>
      </c>
      <c r="B110" s="3">
        <v>46211</v>
      </c>
      <c r="C110" s="2">
        <v>6</v>
      </c>
      <c r="D110" s="2">
        <v>1</v>
      </c>
      <c r="E110" s="2">
        <v>4.2</v>
      </c>
      <c r="F110" s="2">
        <v>924</v>
      </c>
      <c r="G110" t="str">
        <f>_xlfn.XLOOKUP(C110,products!A:A,products!B:B)</f>
        <v>Strawberry</v>
      </c>
      <c r="H110" t="str">
        <f>_xlfn.XLOOKUP(D110,stores!A:A,stores!B:B)</f>
        <v>Bitola</v>
      </c>
      <c r="I110" t="str">
        <f t="shared" si="2"/>
        <v>NORMAL</v>
      </c>
      <c r="J110" s="4" t="str">
        <f t="shared" si="3"/>
        <v>7</v>
      </c>
    </row>
    <row r="111" spans="1:10">
      <c r="A111" s="2">
        <v>110</v>
      </c>
      <c r="B111" s="3">
        <v>46211</v>
      </c>
      <c r="C111" s="2">
        <v>6</v>
      </c>
      <c r="D111" s="2">
        <v>2</v>
      </c>
      <c r="E111" s="2">
        <v>12.8</v>
      </c>
      <c r="F111" s="2">
        <v>2816</v>
      </c>
      <c r="G111" t="str">
        <f>_xlfn.XLOOKUP(C111,products!A:A,products!B:B)</f>
        <v>Strawberry</v>
      </c>
      <c r="H111" t="str">
        <f>_xlfn.XLOOKUP(D111,stores!A:A,stores!B:B)</f>
        <v>Ohrid</v>
      </c>
      <c r="I111" t="str">
        <f t="shared" si="2"/>
        <v>NORMAL</v>
      </c>
      <c r="J111" s="4" t="str">
        <f t="shared" si="3"/>
        <v>7</v>
      </c>
    </row>
    <row r="112" spans="1:10">
      <c r="A112" s="2">
        <v>111</v>
      </c>
      <c r="B112" s="3">
        <v>46211</v>
      </c>
      <c r="C112" s="2">
        <v>7</v>
      </c>
      <c r="D112" s="2">
        <v>1</v>
      </c>
      <c r="E112" s="2">
        <v>24.4</v>
      </c>
      <c r="F112" s="2">
        <v>2318</v>
      </c>
      <c r="G112" t="str">
        <f>_xlfn.XLOOKUP(C112,products!A:A,products!B:B)</f>
        <v>Peach</v>
      </c>
      <c r="H112" t="str">
        <f>_xlfn.XLOOKUP(D112,stores!A:A,stores!B:B)</f>
        <v>Bitola</v>
      </c>
      <c r="I112" t="str">
        <f t="shared" si="2"/>
        <v>NORMAL</v>
      </c>
      <c r="J112" s="4" t="str">
        <f t="shared" si="3"/>
        <v>7</v>
      </c>
    </row>
    <row r="113" spans="1:10">
      <c r="A113" s="2">
        <v>112</v>
      </c>
      <c r="B113" s="3">
        <v>46211</v>
      </c>
      <c r="C113" s="2">
        <v>7</v>
      </c>
      <c r="D113" s="2">
        <v>2</v>
      </c>
      <c r="E113" s="2">
        <v>27.4</v>
      </c>
      <c r="F113" s="2">
        <v>2603</v>
      </c>
      <c r="G113" t="str">
        <f>_xlfn.XLOOKUP(C113,products!A:A,products!B:B)</f>
        <v>Peach</v>
      </c>
      <c r="H113" t="str">
        <f>_xlfn.XLOOKUP(D113,stores!A:A,stores!B:B)</f>
        <v>Ohrid</v>
      </c>
      <c r="I113" t="str">
        <f t="shared" si="2"/>
        <v>NORMAL</v>
      </c>
      <c r="J113" s="4" t="str">
        <f t="shared" si="3"/>
        <v>7</v>
      </c>
    </row>
    <row r="114" spans="1:10">
      <c r="A114" s="2">
        <v>113</v>
      </c>
      <c r="B114" s="3">
        <v>46212</v>
      </c>
      <c r="C114" s="2">
        <v>1</v>
      </c>
      <c r="D114" s="2">
        <v>1</v>
      </c>
      <c r="E114" s="2">
        <v>15.7</v>
      </c>
      <c r="F114" s="2">
        <v>942</v>
      </c>
      <c r="G114" t="str">
        <f>_xlfn.XLOOKUP(C114,products!A:A,products!B:B)</f>
        <v>Apple</v>
      </c>
      <c r="H114" t="str">
        <f>_xlfn.XLOOKUP(D114,stores!A:A,stores!B:B)</f>
        <v>Bitola</v>
      </c>
      <c r="I114" t="str">
        <f t="shared" si="2"/>
        <v>NORMAL</v>
      </c>
      <c r="J114" s="4" t="str">
        <f t="shared" si="3"/>
        <v>7</v>
      </c>
    </row>
    <row r="115" spans="1:10">
      <c r="A115" s="2">
        <v>114</v>
      </c>
      <c r="B115" s="3">
        <v>46212</v>
      </c>
      <c r="C115" s="2">
        <v>1</v>
      </c>
      <c r="D115" s="2">
        <v>2</v>
      </c>
      <c r="E115" s="2">
        <v>25.2</v>
      </c>
      <c r="F115" s="2">
        <v>1512</v>
      </c>
      <c r="G115" t="str">
        <f>_xlfn.XLOOKUP(C115,products!A:A,products!B:B)</f>
        <v>Apple</v>
      </c>
      <c r="H115" t="str">
        <f>_xlfn.XLOOKUP(D115,stores!A:A,stores!B:B)</f>
        <v>Ohrid</v>
      </c>
      <c r="I115" t="str">
        <f t="shared" si="2"/>
        <v>NORMAL</v>
      </c>
      <c r="J115" s="4" t="str">
        <f t="shared" si="3"/>
        <v>7</v>
      </c>
    </row>
    <row r="116" spans="1:10">
      <c r="A116" s="2">
        <v>115</v>
      </c>
      <c r="B116" s="3">
        <v>46212</v>
      </c>
      <c r="C116" s="2">
        <v>2</v>
      </c>
      <c r="D116" s="2">
        <v>1</v>
      </c>
      <c r="E116" s="2">
        <v>33.6</v>
      </c>
      <c r="F116" s="2">
        <v>3024</v>
      </c>
      <c r="G116" t="str">
        <f>_xlfn.XLOOKUP(C116,products!A:A,products!B:B)</f>
        <v>Banana</v>
      </c>
      <c r="H116" t="str">
        <f>_xlfn.XLOOKUP(D116,stores!A:A,stores!B:B)</f>
        <v>Bitola</v>
      </c>
      <c r="I116" t="str">
        <f t="shared" si="2"/>
        <v>NORMAL</v>
      </c>
      <c r="J116" s="4" t="str">
        <f t="shared" si="3"/>
        <v>7</v>
      </c>
    </row>
    <row r="117" spans="1:10">
      <c r="A117" s="2">
        <v>116</v>
      </c>
      <c r="B117" s="3">
        <v>46212</v>
      </c>
      <c r="C117" s="2">
        <v>2</v>
      </c>
      <c r="D117" s="2">
        <v>2</v>
      </c>
      <c r="E117" s="2">
        <v>27.6</v>
      </c>
      <c r="F117" s="2">
        <v>2484</v>
      </c>
      <c r="G117" t="str">
        <f>_xlfn.XLOOKUP(C117,products!A:A,products!B:B)</f>
        <v>Banana</v>
      </c>
      <c r="H117" t="str">
        <f>_xlfn.XLOOKUP(D117,stores!A:A,stores!B:B)</f>
        <v>Ohrid</v>
      </c>
      <c r="I117" t="str">
        <f t="shared" si="2"/>
        <v>NORMAL</v>
      </c>
      <c r="J117" s="4" t="str">
        <f t="shared" si="3"/>
        <v>7</v>
      </c>
    </row>
    <row r="118" spans="1:10">
      <c r="A118" s="2">
        <v>117</v>
      </c>
      <c r="B118" s="3">
        <v>46212</v>
      </c>
      <c r="C118" s="2">
        <v>3</v>
      </c>
      <c r="D118" s="2">
        <v>1</v>
      </c>
      <c r="E118" s="2">
        <v>9.1</v>
      </c>
      <c r="F118" s="2">
        <v>728</v>
      </c>
      <c r="G118" t="str">
        <f>_xlfn.XLOOKUP(C118,products!A:A,products!B:B)</f>
        <v>Orange</v>
      </c>
      <c r="H118" t="str">
        <f>_xlfn.XLOOKUP(D118,stores!A:A,stores!B:B)</f>
        <v>Bitola</v>
      </c>
      <c r="I118" t="str">
        <f t="shared" si="2"/>
        <v>NORMAL</v>
      </c>
      <c r="J118" s="4" t="str">
        <f t="shared" si="3"/>
        <v>7</v>
      </c>
    </row>
    <row r="119" spans="1:10">
      <c r="A119" s="2">
        <v>118</v>
      </c>
      <c r="B119" s="3">
        <v>46212</v>
      </c>
      <c r="C119" s="2">
        <v>3</v>
      </c>
      <c r="D119" s="2">
        <v>2</v>
      </c>
      <c r="E119" s="2">
        <v>17.8</v>
      </c>
      <c r="F119" s="2">
        <v>1424</v>
      </c>
      <c r="G119" t="str">
        <f>_xlfn.XLOOKUP(C119,products!A:A,products!B:B)</f>
        <v>Orange</v>
      </c>
      <c r="H119" t="str">
        <f>_xlfn.XLOOKUP(D119,stores!A:A,stores!B:B)</f>
        <v>Ohrid</v>
      </c>
      <c r="I119" t="str">
        <f t="shared" si="2"/>
        <v>NORMAL</v>
      </c>
      <c r="J119" s="4" t="str">
        <f t="shared" si="3"/>
        <v>7</v>
      </c>
    </row>
    <row r="120" spans="1:10">
      <c r="A120" s="2">
        <v>119</v>
      </c>
      <c r="B120" s="3">
        <v>46212</v>
      </c>
      <c r="C120" s="2">
        <v>4</v>
      </c>
      <c r="D120" s="2">
        <v>1</v>
      </c>
      <c r="E120" s="2">
        <v>63.8</v>
      </c>
      <c r="F120" s="2">
        <v>1595</v>
      </c>
      <c r="G120" t="str">
        <f>_xlfn.XLOOKUP(C120,products!A:A,products!B:B)</f>
        <v>Watermelon</v>
      </c>
      <c r="H120" t="str">
        <f>_xlfn.XLOOKUP(D120,stores!A:A,stores!B:B)</f>
        <v>Bitola</v>
      </c>
      <c r="I120" t="str">
        <f t="shared" si="2"/>
        <v>BIG</v>
      </c>
      <c r="J120" s="4" t="str">
        <f t="shared" si="3"/>
        <v>7</v>
      </c>
    </row>
    <row r="121" spans="1:10">
      <c r="A121" s="2">
        <v>120</v>
      </c>
      <c r="B121" s="3">
        <v>46212</v>
      </c>
      <c r="C121" s="2">
        <v>4</v>
      </c>
      <c r="D121" s="2">
        <v>2</v>
      </c>
      <c r="E121" s="2">
        <v>90.9</v>
      </c>
      <c r="F121" s="2">
        <v>2272</v>
      </c>
      <c r="G121" t="str">
        <f>_xlfn.XLOOKUP(C121,products!A:A,products!B:B)</f>
        <v>Watermelon</v>
      </c>
      <c r="H121" t="str">
        <f>_xlfn.XLOOKUP(D121,stores!A:A,stores!B:B)</f>
        <v>Ohrid</v>
      </c>
      <c r="I121" t="str">
        <f t="shared" si="2"/>
        <v>BIG</v>
      </c>
      <c r="J121" s="4" t="str">
        <f t="shared" si="3"/>
        <v>7</v>
      </c>
    </row>
    <row r="122" spans="1:10">
      <c r="A122" s="2">
        <v>121</v>
      </c>
      <c r="B122" s="3">
        <v>46212</v>
      </c>
      <c r="C122" s="2">
        <v>5</v>
      </c>
      <c r="D122" s="2">
        <v>1</v>
      </c>
      <c r="E122" s="2">
        <v>5.1</v>
      </c>
      <c r="F122" s="2">
        <v>561</v>
      </c>
      <c r="G122" t="str">
        <f>_xlfn.XLOOKUP(C122,products!A:A,products!B:B)</f>
        <v>Grapes</v>
      </c>
      <c r="H122" t="str">
        <f>_xlfn.XLOOKUP(D122,stores!A:A,stores!B:B)</f>
        <v>Bitola</v>
      </c>
      <c r="I122" t="str">
        <f t="shared" si="2"/>
        <v>NORMAL</v>
      </c>
      <c r="J122" s="4" t="str">
        <f t="shared" si="3"/>
        <v>7</v>
      </c>
    </row>
    <row r="123" spans="1:10">
      <c r="A123" s="2">
        <v>122</v>
      </c>
      <c r="B123" s="3">
        <v>46212</v>
      </c>
      <c r="C123" s="2">
        <v>5</v>
      </c>
      <c r="D123" s="2">
        <v>2</v>
      </c>
      <c r="E123" s="2">
        <v>5.3</v>
      </c>
      <c r="F123" s="2">
        <v>583</v>
      </c>
      <c r="G123" t="str">
        <f>_xlfn.XLOOKUP(C123,products!A:A,products!B:B)</f>
        <v>Grapes</v>
      </c>
      <c r="H123" t="str">
        <f>_xlfn.XLOOKUP(D123,stores!A:A,stores!B:B)</f>
        <v>Ohrid</v>
      </c>
      <c r="I123" t="str">
        <f t="shared" si="2"/>
        <v>NORMAL</v>
      </c>
      <c r="J123" s="4" t="str">
        <f t="shared" si="3"/>
        <v>7</v>
      </c>
    </row>
    <row r="124" spans="1:10">
      <c r="A124" s="2">
        <v>123</v>
      </c>
      <c r="B124" s="3">
        <v>46212</v>
      </c>
      <c r="C124" s="2">
        <v>6</v>
      </c>
      <c r="D124" s="2">
        <v>1</v>
      </c>
      <c r="E124" s="2">
        <v>8.4</v>
      </c>
      <c r="F124" s="2">
        <v>1848</v>
      </c>
      <c r="G124" t="str">
        <f>_xlfn.XLOOKUP(C124,products!A:A,products!B:B)</f>
        <v>Strawberry</v>
      </c>
      <c r="H124" t="str">
        <f>_xlfn.XLOOKUP(D124,stores!A:A,stores!B:B)</f>
        <v>Bitola</v>
      </c>
      <c r="I124" t="str">
        <f t="shared" si="2"/>
        <v>NORMAL</v>
      </c>
      <c r="J124" s="4" t="str">
        <f t="shared" si="3"/>
        <v>7</v>
      </c>
    </row>
    <row r="125" spans="1:10">
      <c r="A125" s="2">
        <v>124</v>
      </c>
      <c r="B125" s="3">
        <v>46212</v>
      </c>
      <c r="C125" s="2">
        <v>6</v>
      </c>
      <c r="D125" s="2">
        <v>2</v>
      </c>
      <c r="E125" s="2">
        <v>8.5</v>
      </c>
      <c r="F125" s="2">
        <v>1870</v>
      </c>
      <c r="G125" t="str">
        <f>_xlfn.XLOOKUP(C125,products!A:A,products!B:B)</f>
        <v>Strawberry</v>
      </c>
      <c r="H125" t="str">
        <f>_xlfn.XLOOKUP(D125,stores!A:A,stores!B:B)</f>
        <v>Ohrid</v>
      </c>
      <c r="I125" t="str">
        <f t="shared" si="2"/>
        <v>NORMAL</v>
      </c>
      <c r="J125" s="4" t="str">
        <f t="shared" si="3"/>
        <v>7</v>
      </c>
    </row>
    <row r="126" spans="1:10">
      <c r="A126" s="2">
        <v>125</v>
      </c>
      <c r="B126" s="3">
        <v>46212</v>
      </c>
      <c r="C126" s="2">
        <v>7</v>
      </c>
      <c r="D126" s="2">
        <v>1</v>
      </c>
      <c r="E126" s="2">
        <v>25.9</v>
      </c>
      <c r="F126" s="2">
        <v>2460</v>
      </c>
      <c r="G126" t="str">
        <f>_xlfn.XLOOKUP(C126,products!A:A,products!B:B)</f>
        <v>Peach</v>
      </c>
      <c r="H126" t="str">
        <f>_xlfn.XLOOKUP(D126,stores!A:A,stores!B:B)</f>
        <v>Bitola</v>
      </c>
      <c r="I126" t="str">
        <f t="shared" si="2"/>
        <v>NORMAL</v>
      </c>
      <c r="J126" s="4" t="str">
        <f t="shared" si="3"/>
        <v>7</v>
      </c>
    </row>
    <row r="127" spans="1:10">
      <c r="A127" s="2">
        <v>126</v>
      </c>
      <c r="B127" s="3">
        <v>46212</v>
      </c>
      <c r="C127" s="2">
        <v>7</v>
      </c>
      <c r="D127" s="2">
        <v>2</v>
      </c>
      <c r="E127" s="2">
        <v>30.8</v>
      </c>
      <c r="F127" s="2">
        <v>2926</v>
      </c>
      <c r="G127" t="str">
        <f>_xlfn.XLOOKUP(C127,products!A:A,products!B:B)</f>
        <v>Peach</v>
      </c>
      <c r="H127" t="str">
        <f>_xlfn.XLOOKUP(D127,stores!A:A,stores!B:B)</f>
        <v>Ohrid</v>
      </c>
      <c r="I127" t="str">
        <f t="shared" si="2"/>
        <v>NORMAL</v>
      </c>
      <c r="J127" s="4" t="str">
        <f t="shared" si="3"/>
        <v>7</v>
      </c>
    </row>
    <row r="128" spans="1:10">
      <c r="A128" s="2">
        <v>127</v>
      </c>
      <c r="B128" s="3">
        <v>46213</v>
      </c>
      <c r="C128" s="2">
        <v>1</v>
      </c>
      <c r="D128" s="2">
        <v>1</v>
      </c>
      <c r="E128" s="2">
        <v>26.2</v>
      </c>
      <c r="F128" s="2">
        <v>1572</v>
      </c>
      <c r="G128" t="str">
        <f>_xlfn.XLOOKUP(C128,products!A:A,products!B:B)</f>
        <v>Apple</v>
      </c>
      <c r="H128" t="str">
        <f>_xlfn.XLOOKUP(D128,stores!A:A,stores!B:B)</f>
        <v>Bitola</v>
      </c>
      <c r="I128" t="str">
        <f t="shared" si="2"/>
        <v>NORMAL</v>
      </c>
      <c r="J128" s="4" t="str">
        <f t="shared" si="3"/>
        <v>7</v>
      </c>
    </row>
    <row r="129" spans="1:10">
      <c r="A129" s="2">
        <v>128</v>
      </c>
      <c r="B129" s="3">
        <v>46213</v>
      </c>
      <c r="C129" s="2">
        <v>1</v>
      </c>
      <c r="D129" s="2">
        <v>2</v>
      </c>
      <c r="E129" s="2">
        <v>26.6</v>
      </c>
      <c r="F129" s="2">
        <v>1596</v>
      </c>
      <c r="G129" t="str">
        <f>_xlfn.XLOOKUP(C129,products!A:A,products!B:B)</f>
        <v>Apple</v>
      </c>
      <c r="H129" t="str">
        <f>_xlfn.XLOOKUP(D129,stores!A:A,stores!B:B)</f>
        <v>Ohrid</v>
      </c>
      <c r="I129" t="str">
        <f t="shared" si="2"/>
        <v>NORMAL</v>
      </c>
      <c r="J129" s="4" t="str">
        <f t="shared" si="3"/>
        <v>7</v>
      </c>
    </row>
    <row r="130" spans="1:10">
      <c r="A130" s="2">
        <v>129</v>
      </c>
      <c r="B130" s="3">
        <v>46213</v>
      </c>
      <c r="C130" s="2">
        <v>2</v>
      </c>
      <c r="D130" s="2">
        <v>1</v>
      </c>
      <c r="E130" s="2">
        <v>31.8</v>
      </c>
      <c r="F130" s="2">
        <v>2862</v>
      </c>
      <c r="G130" t="str">
        <f>_xlfn.XLOOKUP(C130,products!A:A,products!B:B)</f>
        <v>Banana</v>
      </c>
      <c r="H130" t="str">
        <f>_xlfn.XLOOKUP(D130,stores!A:A,stores!B:B)</f>
        <v>Bitola</v>
      </c>
      <c r="I130" t="str">
        <f t="shared" ref="I130:I193" si="4">IF(E130&gt;50,"BIG","NORMAL")</f>
        <v>NORMAL</v>
      </c>
      <c r="J130" s="4" t="str">
        <f t="shared" ref="J130:J193" si="5">TEXT(B130,"m")</f>
        <v>7</v>
      </c>
    </row>
    <row r="131" spans="1:10">
      <c r="A131" s="2">
        <v>130</v>
      </c>
      <c r="B131" s="3">
        <v>46213</v>
      </c>
      <c r="C131" s="2">
        <v>2</v>
      </c>
      <c r="D131" s="2">
        <v>2</v>
      </c>
      <c r="E131" s="2">
        <v>25.9</v>
      </c>
      <c r="F131" s="2">
        <v>2331</v>
      </c>
      <c r="G131" t="str">
        <f>_xlfn.XLOOKUP(C131,products!A:A,products!B:B)</f>
        <v>Banana</v>
      </c>
      <c r="H131" t="str">
        <f>_xlfn.XLOOKUP(D131,stores!A:A,stores!B:B)</f>
        <v>Ohrid</v>
      </c>
      <c r="I131" t="str">
        <f t="shared" si="4"/>
        <v>NORMAL</v>
      </c>
      <c r="J131" s="4" t="str">
        <f t="shared" si="5"/>
        <v>7</v>
      </c>
    </row>
    <row r="132" spans="1:10">
      <c r="A132" s="2">
        <v>131</v>
      </c>
      <c r="B132" s="3">
        <v>46213</v>
      </c>
      <c r="C132" s="2">
        <v>3</v>
      </c>
      <c r="D132" s="2">
        <v>1</v>
      </c>
      <c r="E132" s="2">
        <v>9.8</v>
      </c>
      <c r="F132" s="2">
        <v>784</v>
      </c>
      <c r="G132" t="str">
        <f>_xlfn.XLOOKUP(C132,products!A:A,products!B:B)</f>
        <v>Orange</v>
      </c>
      <c r="H132" t="str">
        <f>_xlfn.XLOOKUP(D132,stores!A:A,stores!B:B)</f>
        <v>Bitola</v>
      </c>
      <c r="I132" t="str">
        <f t="shared" si="4"/>
        <v>NORMAL</v>
      </c>
      <c r="J132" s="4" t="str">
        <f t="shared" si="5"/>
        <v>7</v>
      </c>
    </row>
    <row r="133" spans="1:10">
      <c r="A133" s="2">
        <v>132</v>
      </c>
      <c r="B133" s="3">
        <v>46213</v>
      </c>
      <c r="C133" s="2">
        <v>3</v>
      </c>
      <c r="D133" s="2">
        <v>2</v>
      </c>
      <c r="E133" s="2">
        <v>14.9</v>
      </c>
      <c r="F133" s="2">
        <v>1192</v>
      </c>
      <c r="G133" t="str">
        <f>_xlfn.XLOOKUP(C133,products!A:A,products!B:B)</f>
        <v>Orange</v>
      </c>
      <c r="H133" t="str">
        <f>_xlfn.XLOOKUP(D133,stores!A:A,stores!B:B)</f>
        <v>Ohrid</v>
      </c>
      <c r="I133" t="str">
        <f t="shared" si="4"/>
        <v>NORMAL</v>
      </c>
      <c r="J133" s="4" t="str">
        <f t="shared" si="5"/>
        <v>7</v>
      </c>
    </row>
    <row r="134" spans="1:10">
      <c r="A134" s="2">
        <v>133</v>
      </c>
      <c r="B134" s="3">
        <v>46213</v>
      </c>
      <c r="C134" s="2">
        <v>4</v>
      </c>
      <c r="D134" s="2">
        <v>1</v>
      </c>
      <c r="E134" s="2">
        <v>94.4</v>
      </c>
      <c r="F134" s="2">
        <v>2360</v>
      </c>
      <c r="G134" t="str">
        <f>_xlfn.XLOOKUP(C134,products!A:A,products!B:B)</f>
        <v>Watermelon</v>
      </c>
      <c r="H134" t="str">
        <f>_xlfn.XLOOKUP(D134,stores!A:A,stores!B:B)</f>
        <v>Bitola</v>
      </c>
      <c r="I134" t="str">
        <f t="shared" si="4"/>
        <v>BIG</v>
      </c>
      <c r="J134" s="4" t="str">
        <f t="shared" si="5"/>
        <v>7</v>
      </c>
    </row>
    <row r="135" spans="1:10">
      <c r="A135" s="2">
        <v>134</v>
      </c>
      <c r="B135" s="3">
        <v>46213</v>
      </c>
      <c r="C135" s="2">
        <v>4</v>
      </c>
      <c r="D135" s="2">
        <v>2</v>
      </c>
      <c r="E135" s="2">
        <v>65.1</v>
      </c>
      <c r="F135" s="2">
        <v>1627</v>
      </c>
      <c r="G135" t="str">
        <f>_xlfn.XLOOKUP(C135,products!A:A,products!B:B)</f>
        <v>Watermelon</v>
      </c>
      <c r="H135" t="str">
        <f>_xlfn.XLOOKUP(D135,stores!A:A,stores!B:B)</f>
        <v>Ohrid</v>
      </c>
      <c r="I135" t="str">
        <f t="shared" si="4"/>
        <v>BIG</v>
      </c>
      <c r="J135" s="4" t="str">
        <f t="shared" si="5"/>
        <v>7</v>
      </c>
    </row>
    <row r="136" spans="1:10">
      <c r="A136" s="2">
        <v>135</v>
      </c>
      <c r="B136" s="3">
        <v>46213</v>
      </c>
      <c r="C136" s="2">
        <v>5</v>
      </c>
      <c r="D136" s="2">
        <v>1</v>
      </c>
      <c r="E136" s="2">
        <v>6</v>
      </c>
      <c r="F136" s="2">
        <v>660</v>
      </c>
      <c r="G136" t="str">
        <f>_xlfn.XLOOKUP(C136,products!A:A,products!B:B)</f>
        <v>Grapes</v>
      </c>
      <c r="H136" t="str">
        <f>_xlfn.XLOOKUP(D136,stores!A:A,stores!B:B)</f>
        <v>Bitola</v>
      </c>
      <c r="I136" t="str">
        <f t="shared" si="4"/>
        <v>NORMAL</v>
      </c>
      <c r="J136" s="4" t="str">
        <f t="shared" si="5"/>
        <v>7</v>
      </c>
    </row>
    <row r="137" spans="1:10">
      <c r="A137" s="2">
        <v>136</v>
      </c>
      <c r="B137" s="3">
        <v>46213</v>
      </c>
      <c r="C137" s="2">
        <v>5</v>
      </c>
      <c r="D137" s="2">
        <v>2</v>
      </c>
      <c r="E137" s="2">
        <v>7.8</v>
      </c>
      <c r="F137" s="2">
        <v>858</v>
      </c>
      <c r="G137" t="str">
        <f>_xlfn.XLOOKUP(C137,products!A:A,products!B:B)</f>
        <v>Grapes</v>
      </c>
      <c r="H137" t="str">
        <f>_xlfn.XLOOKUP(D137,stores!A:A,stores!B:B)</f>
        <v>Ohrid</v>
      </c>
      <c r="I137" t="str">
        <f t="shared" si="4"/>
        <v>NORMAL</v>
      </c>
      <c r="J137" s="4" t="str">
        <f t="shared" si="5"/>
        <v>7</v>
      </c>
    </row>
    <row r="138" spans="1:10">
      <c r="A138" s="2">
        <v>137</v>
      </c>
      <c r="B138" s="3">
        <v>46213</v>
      </c>
      <c r="C138" s="2">
        <v>6</v>
      </c>
      <c r="D138" s="2">
        <v>1</v>
      </c>
      <c r="E138" s="2">
        <v>10.5</v>
      </c>
      <c r="F138" s="2">
        <v>2310</v>
      </c>
      <c r="G138" t="str">
        <f>_xlfn.XLOOKUP(C138,products!A:A,products!B:B)</f>
        <v>Strawberry</v>
      </c>
      <c r="H138" t="str">
        <f>_xlfn.XLOOKUP(D138,stores!A:A,stores!B:B)</f>
        <v>Bitola</v>
      </c>
      <c r="I138" t="str">
        <f t="shared" si="4"/>
        <v>NORMAL</v>
      </c>
      <c r="J138" s="4" t="str">
        <f t="shared" si="5"/>
        <v>7</v>
      </c>
    </row>
    <row r="139" spans="1:10">
      <c r="A139" s="2">
        <v>138</v>
      </c>
      <c r="B139" s="3">
        <v>46213</v>
      </c>
      <c r="C139" s="2">
        <v>6</v>
      </c>
      <c r="D139" s="2">
        <v>2</v>
      </c>
      <c r="E139" s="2">
        <v>12.8</v>
      </c>
      <c r="F139" s="2">
        <v>2816</v>
      </c>
      <c r="G139" t="str">
        <f>_xlfn.XLOOKUP(C139,products!A:A,products!B:B)</f>
        <v>Strawberry</v>
      </c>
      <c r="H139" t="str">
        <f>_xlfn.XLOOKUP(D139,stores!A:A,stores!B:B)</f>
        <v>Ohrid</v>
      </c>
      <c r="I139" t="str">
        <f t="shared" si="4"/>
        <v>NORMAL</v>
      </c>
      <c r="J139" s="4" t="str">
        <f t="shared" si="5"/>
        <v>7</v>
      </c>
    </row>
    <row r="140" spans="1:10">
      <c r="A140" s="2">
        <v>139</v>
      </c>
      <c r="B140" s="3">
        <v>46213</v>
      </c>
      <c r="C140" s="2">
        <v>7</v>
      </c>
      <c r="D140" s="2">
        <v>1</v>
      </c>
      <c r="E140" s="2">
        <v>22.2</v>
      </c>
      <c r="F140" s="2">
        <v>2109</v>
      </c>
      <c r="G140" t="str">
        <f>_xlfn.XLOOKUP(C140,products!A:A,products!B:B)</f>
        <v>Peach</v>
      </c>
      <c r="H140" t="str">
        <f>_xlfn.XLOOKUP(D140,stores!A:A,stores!B:B)</f>
        <v>Bitola</v>
      </c>
      <c r="I140" t="str">
        <f t="shared" si="4"/>
        <v>NORMAL</v>
      </c>
      <c r="J140" s="4" t="str">
        <f t="shared" si="5"/>
        <v>7</v>
      </c>
    </row>
    <row r="141" spans="1:10">
      <c r="A141" s="2">
        <v>140</v>
      </c>
      <c r="B141" s="3">
        <v>46213</v>
      </c>
      <c r="C141" s="2">
        <v>7</v>
      </c>
      <c r="D141" s="2">
        <v>2</v>
      </c>
      <c r="E141" s="2">
        <v>27.6</v>
      </c>
      <c r="F141" s="2">
        <v>2622</v>
      </c>
      <c r="G141" t="str">
        <f>_xlfn.XLOOKUP(C141,products!A:A,products!B:B)</f>
        <v>Peach</v>
      </c>
      <c r="H141" t="str">
        <f>_xlfn.XLOOKUP(D141,stores!A:A,stores!B:B)</f>
        <v>Ohrid</v>
      </c>
      <c r="I141" t="str">
        <f t="shared" si="4"/>
        <v>NORMAL</v>
      </c>
      <c r="J141" s="4" t="str">
        <f t="shared" si="5"/>
        <v>7</v>
      </c>
    </row>
    <row r="142" spans="1:10">
      <c r="A142" s="2">
        <v>141</v>
      </c>
      <c r="B142" s="3">
        <v>46214</v>
      </c>
      <c r="C142" s="2">
        <v>1</v>
      </c>
      <c r="D142" s="2">
        <v>1</v>
      </c>
      <c r="E142" s="2">
        <v>16.9</v>
      </c>
      <c r="F142" s="2">
        <v>1014</v>
      </c>
      <c r="G142" t="str">
        <f>_xlfn.XLOOKUP(C142,products!A:A,products!B:B)</f>
        <v>Apple</v>
      </c>
      <c r="H142" t="str">
        <f>_xlfn.XLOOKUP(D142,stores!A:A,stores!B:B)</f>
        <v>Bitola</v>
      </c>
      <c r="I142" t="str">
        <f t="shared" si="4"/>
        <v>NORMAL</v>
      </c>
      <c r="J142" s="4" t="str">
        <f t="shared" si="5"/>
        <v>7</v>
      </c>
    </row>
    <row r="143" spans="1:10">
      <c r="A143" s="2">
        <v>142</v>
      </c>
      <c r="B143" s="3">
        <v>46214</v>
      </c>
      <c r="C143" s="2">
        <v>1</v>
      </c>
      <c r="D143" s="2">
        <v>2</v>
      </c>
      <c r="E143" s="2">
        <v>32.7</v>
      </c>
      <c r="F143" s="2">
        <v>1962</v>
      </c>
      <c r="G143" t="str">
        <f>_xlfn.XLOOKUP(C143,products!A:A,products!B:B)</f>
        <v>Apple</v>
      </c>
      <c r="H143" t="str">
        <f>_xlfn.XLOOKUP(D143,stores!A:A,stores!B:B)</f>
        <v>Ohrid</v>
      </c>
      <c r="I143" t="str">
        <f t="shared" si="4"/>
        <v>NORMAL</v>
      </c>
      <c r="J143" s="4" t="str">
        <f t="shared" si="5"/>
        <v>7</v>
      </c>
    </row>
    <row r="144" spans="1:10">
      <c r="A144" s="2">
        <v>143</v>
      </c>
      <c r="B144" s="3">
        <v>46214</v>
      </c>
      <c r="C144" s="2">
        <v>2</v>
      </c>
      <c r="D144" s="2">
        <v>1</v>
      </c>
      <c r="E144" s="2">
        <v>30.1</v>
      </c>
      <c r="F144" s="2">
        <v>2709</v>
      </c>
      <c r="G144" t="str">
        <f>_xlfn.XLOOKUP(C144,products!A:A,products!B:B)</f>
        <v>Banana</v>
      </c>
      <c r="H144" t="str">
        <f>_xlfn.XLOOKUP(D144,stores!A:A,stores!B:B)</f>
        <v>Bitola</v>
      </c>
      <c r="I144" t="str">
        <f t="shared" si="4"/>
        <v>NORMAL</v>
      </c>
      <c r="J144" s="4" t="str">
        <f t="shared" si="5"/>
        <v>7</v>
      </c>
    </row>
    <row r="145" spans="1:10">
      <c r="A145" s="2">
        <v>144</v>
      </c>
      <c r="B145" s="3">
        <v>46214</v>
      </c>
      <c r="C145" s="2">
        <v>2</v>
      </c>
      <c r="D145" s="2">
        <v>2</v>
      </c>
      <c r="E145" s="2">
        <v>61.4</v>
      </c>
      <c r="F145" s="2">
        <v>5526</v>
      </c>
      <c r="G145" t="str">
        <f>_xlfn.XLOOKUP(C145,products!A:A,products!B:B)</f>
        <v>Banana</v>
      </c>
      <c r="H145" t="str">
        <f>_xlfn.XLOOKUP(D145,stores!A:A,stores!B:B)</f>
        <v>Ohrid</v>
      </c>
      <c r="I145" t="str">
        <f t="shared" si="4"/>
        <v>BIG</v>
      </c>
      <c r="J145" s="4" t="str">
        <f t="shared" si="5"/>
        <v>7</v>
      </c>
    </row>
    <row r="146" spans="1:10">
      <c r="A146" s="2">
        <v>145</v>
      </c>
      <c r="B146" s="3">
        <v>46214</v>
      </c>
      <c r="C146" s="2">
        <v>3</v>
      </c>
      <c r="D146" s="2">
        <v>1</v>
      </c>
      <c r="E146" s="2">
        <v>11</v>
      </c>
      <c r="F146" s="2">
        <v>880</v>
      </c>
      <c r="G146" t="str">
        <f>_xlfn.XLOOKUP(C146,products!A:A,products!B:B)</f>
        <v>Orange</v>
      </c>
      <c r="H146" t="str">
        <f>_xlfn.XLOOKUP(D146,stores!A:A,stores!B:B)</f>
        <v>Bitola</v>
      </c>
      <c r="I146" t="str">
        <f t="shared" si="4"/>
        <v>NORMAL</v>
      </c>
      <c r="J146" s="4" t="str">
        <f t="shared" si="5"/>
        <v>7</v>
      </c>
    </row>
    <row r="147" spans="1:10">
      <c r="A147" s="2">
        <v>146</v>
      </c>
      <c r="B147" s="3">
        <v>46214</v>
      </c>
      <c r="C147" s="2">
        <v>3</v>
      </c>
      <c r="D147" s="2">
        <v>2</v>
      </c>
      <c r="E147" s="2">
        <v>18.6</v>
      </c>
      <c r="F147" s="2">
        <v>1488</v>
      </c>
      <c r="G147" t="str">
        <f>_xlfn.XLOOKUP(C147,products!A:A,products!B:B)</f>
        <v>Orange</v>
      </c>
      <c r="H147" t="str">
        <f>_xlfn.XLOOKUP(D147,stores!A:A,stores!B:B)</f>
        <v>Ohrid</v>
      </c>
      <c r="I147" t="str">
        <f t="shared" si="4"/>
        <v>NORMAL</v>
      </c>
      <c r="J147" s="4" t="str">
        <f t="shared" si="5"/>
        <v>7</v>
      </c>
    </row>
    <row r="148" spans="1:10">
      <c r="A148" s="2">
        <v>147</v>
      </c>
      <c r="B148" s="3">
        <v>46214</v>
      </c>
      <c r="C148" s="2">
        <v>4</v>
      </c>
      <c r="D148" s="2">
        <v>1</v>
      </c>
      <c r="E148" s="2">
        <v>60</v>
      </c>
      <c r="F148" s="2">
        <v>1500</v>
      </c>
      <c r="G148" t="str">
        <f>_xlfn.XLOOKUP(C148,products!A:A,products!B:B)</f>
        <v>Watermelon</v>
      </c>
      <c r="H148" t="str">
        <f>_xlfn.XLOOKUP(D148,stores!A:A,stores!B:B)</f>
        <v>Bitola</v>
      </c>
      <c r="I148" t="str">
        <f t="shared" si="4"/>
        <v>BIG</v>
      </c>
      <c r="J148" s="4" t="str">
        <f t="shared" si="5"/>
        <v>7</v>
      </c>
    </row>
    <row r="149" spans="1:10">
      <c r="A149" s="2">
        <v>148</v>
      </c>
      <c r="B149" s="3">
        <v>46214</v>
      </c>
      <c r="C149" s="2">
        <v>4</v>
      </c>
      <c r="D149" s="2">
        <v>2</v>
      </c>
      <c r="E149" s="2">
        <v>112.8</v>
      </c>
      <c r="F149" s="2">
        <v>2820</v>
      </c>
      <c r="G149" t="str">
        <f>_xlfn.XLOOKUP(C149,products!A:A,products!B:B)</f>
        <v>Watermelon</v>
      </c>
      <c r="H149" t="str">
        <f>_xlfn.XLOOKUP(D149,stores!A:A,stores!B:B)</f>
        <v>Ohrid</v>
      </c>
      <c r="I149" t="str">
        <f t="shared" si="4"/>
        <v>BIG</v>
      </c>
      <c r="J149" s="4" t="str">
        <f t="shared" si="5"/>
        <v>7</v>
      </c>
    </row>
    <row r="150" spans="1:10">
      <c r="A150" s="2">
        <v>149</v>
      </c>
      <c r="B150" s="3">
        <v>46214</v>
      </c>
      <c r="C150" s="2">
        <v>5</v>
      </c>
      <c r="D150" s="2">
        <v>1</v>
      </c>
      <c r="E150" s="2">
        <v>6.6</v>
      </c>
      <c r="F150" s="2">
        <v>726</v>
      </c>
      <c r="G150" t="str">
        <f>_xlfn.XLOOKUP(C150,products!A:A,products!B:B)</f>
        <v>Grapes</v>
      </c>
      <c r="H150" t="str">
        <f>_xlfn.XLOOKUP(D150,stores!A:A,stores!B:B)</f>
        <v>Bitola</v>
      </c>
      <c r="I150" t="str">
        <f t="shared" si="4"/>
        <v>NORMAL</v>
      </c>
      <c r="J150" s="4" t="str">
        <f t="shared" si="5"/>
        <v>7</v>
      </c>
    </row>
    <row r="151" spans="1:10">
      <c r="A151" s="2">
        <v>150</v>
      </c>
      <c r="B151" s="3">
        <v>46214</v>
      </c>
      <c r="C151" s="2">
        <v>5</v>
      </c>
      <c r="D151" s="2">
        <v>2</v>
      </c>
      <c r="E151" s="2">
        <v>10.2</v>
      </c>
      <c r="F151" s="2">
        <v>1122</v>
      </c>
      <c r="G151" t="str">
        <f>_xlfn.XLOOKUP(C151,products!A:A,products!B:B)</f>
        <v>Grapes</v>
      </c>
      <c r="H151" t="str">
        <f>_xlfn.XLOOKUP(D151,stores!A:A,stores!B:B)</f>
        <v>Ohrid</v>
      </c>
      <c r="I151" t="str">
        <f t="shared" si="4"/>
        <v>NORMAL</v>
      </c>
      <c r="J151" s="4" t="str">
        <f t="shared" si="5"/>
        <v>7</v>
      </c>
    </row>
    <row r="152" spans="1:10">
      <c r="A152" s="2">
        <v>151</v>
      </c>
      <c r="B152" s="3">
        <v>46214</v>
      </c>
      <c r="C152" s="2">
        <v>6</v>
      </c>
      <c r="D152" s="2">
        <v>1</v>
      </c>
      <c r="E152" s="2">
        <v>12.9</v>
      </c>
      <c r="F152" s="2">
        <v>2838</v>
      </c>
      <c r="G152" t="str">
        <f>_xlfn.XLOOKUP(C152,products!A:A,products!B:B)</f>
        <v>Strawberry</v>
      </c>
      <c r="H152" t="str">
        <f>_xlfn.XLOOKUP(D152,stores!A:A,stores!B:B)</f>
        <v>Bitola</v>
      </c>
      <c r="I152" t="str">
        <f t="shared" si="4"/>
        <v>NORMAL</v>
      </c>
      <c r="J152" s="4" t="str">
        <f t="shared" si="5"/>
        <v>7</v>
      </c>
    </row>
    <row r="153" spans="1:10">
      <c r="A153" s="2">
        <v>152</v>
      </c>
      <c r="B153" s="3">
        <v>46214</v>
      </c>
      <c r="C153" s="2">
        <v>6</v>
      </c>
      <c r="D153" s="2">
        <v>2</v>
      </c>
      <c r="E153" s="2">
        <v>13.9</v>
      </c>
      <c r="F153" s="2">
        <v>3058</v>
      </c>
      <c r="G153" t="str">
        <f>_xlfn.XLOOKUP(C153,products!A:A,products!B:B)</f>
        <v>Strawberry</v>
      </c>
      <c r="H153" t="str">
        <f>_xlfn.XLOOKUP(D153,stores!A:A,stores!B:B)</f>
        <v>Ohrid</v>
      </c>
      <c r="I153" t="str">
        <f t="shared" si="4"/>
        <v>NORMAL</v>
      </c>
      <c r="J153" s="4" t="str">
        <f t="shared" si="5"/>
        <v>7</v>
      </c>
    </row>
    <row r="154" spans="1:10">
      <c r="A154" s="2">
        <v>153</v>
      </c>
      <c r="B154" s="3">
        <v>46214</v>
      </c>
      <c r="C154" s="2">
        <v>7</v>
      </c>
      <c r="D154" s="2">
        <v>1</v>
      </c>
      <c r="E154" s="2">
        <v>21.4</v>
      </c>
      <c r="F154" s="2">
        <v>2033</v>
      </c>
      <c r="G154" t="str">
        <f>_xlfn.XLOOKUP(C154,products!A:A,products!B:B)</f>
        <v>Peach</v>
      </c>
      <c r="H154" t="str">
        <f>_xlfn.XLOOKUP(D154,stores!A:A,stores!B:B)</f>
        <v>Bitola</v>
      </c>
      <c r="I154" t="str">
        <f t="shared" si="4"/>
        <v>NORMAL</v>
      </c>
      <c r="J154" s="4" t="str">
        <f t="shared" si="5"/>
        <v>7</v>
      </c>
    </row>
    <row r="155" spans="1:10">
      <c r="A155" s="2">
        <v>154</v>
      </c>
      <c r="B155" s="3">
        <v>46214</v>
      </c>
      <c r="C155" s="2">
        <v>7</v>
      </c>
      <c r="D155" s="2">
        <v>2</v>
      </c>
      <c r="E155" s="2">
        <v>42</v>
      </c>
      <c r="F155" s="2">
        <v>3990</v>
      </c>
      <c r="G155" t="str">
        <f>_xlfn.XLOOKUP(C155,products!A:A,products!B:B)</f>
        <v>Peach</v>
      </c>
      <c r="H155" t="str">
        <f>_xlfn.XLOOKUP(D155,stores!A:A,stores!B:B)</f>
        <v>Ohrid</v>
      </c>
      <c r="I155" t="str">
        <f t="shared" si="4"/>
        <v>NORMAL</v>
      </c>
      <c r="J155" s="4" t="str">
        <f t="shared" si="5"/>
        <v>7</v>
      </c>
    </row>
    <row r="156" spans="1:10">
      <c r="A156" s="2">
        <v>155</v>
      </c>
      <c r="B156" s="3">
        <v>46215</v>
      </c>
      <c r="C156" s="2">
        <v>1</v>
      </c>
      <c r="D156" s="2">
        <v>1</v>
      </c>
      <c r="E156" s="2">
        <v>24.8</v>
      </c>
      <c r="F156" s="2">
        <v>1488</v>
      </c>
      <c r="G156" t="str">
        <f>_xlfn.XLOOKUP(C156,products!A:A,products!B:B)</f>
        <v>Apple</v>
      </c>
      <c r="H156" t="str">
        <f>_xlfn.XLOOKUP(D156,stores!A:A,stores!B:B)</f>
        <v>Bitola</v>
      </c>
      <c r="I156" t="str">
        <f t="shared" si="4"/>
        <v>NORMAL</v>
      </c>
      <c r="J156" s="4" t="str">
        <f t="shared" si="5"/>
        <v>7</v>
      </c>
    </row>
    <row r="157" spans="1:10">
      <c r="A157" s="2">
        <v>156</v>
      </c>
      <c r="B157" s="3">
        <v>46215</v>
      </c>
      <c r="C157" s="2">
        <v>1</v>
      </c>
      <c r="D157" s="2">
        <v>2</v>
      </c>
      <c r="E157" s="2">
        <v>34.6</v>
      </c>
      <c r="F157" s="2">
        <v>2076</v>
      </c>
      <c r="G157" t="str">
        <f>_xlfn.XLOOKUP(C157,products!A:A,products!B:B)</f>
        <v>Apple</v>
      </c>
      <c r="H157" t="str">
        <f>_xlfn.XLOOKUP(D157,stores!A:A,stores!B:B)</f>
        <v>Ohrid</v>
      </c>
      <c r="I157" t="str">
        <f t="shared" si="4"/>
        <v>NORMAL</v>
      </c>
      <c r="J157" s="4" t="str">
        <f t="shared" si="5"/>
        <v>7</v>
      </c>
    </row>
    <row r="158" spans="1:10">
      <c r="A158" s="2">
        <v>157</v>
      </c>
      <c r="B158" s="3">
        <v>46215</v>
      </c>
      <c r="C158" s="2">
        <v>2</v>
      </c>
      <c r="D158" s="2">
        <v>1</v>
      </c>
      <c r="E158" s="2">
        <v>26.9</v>
      </c>
      <c r="F158" s="2">
        <v>2421</v>
      </c>
      <c r="G158" t="str">
        <f>_xlfn.XLOOKUP(C158,products!A:A,products!B:B)</f>
        <v>Banana</v>
      </c>
      <c r="H158" t="str">
        <f>_xlfn.XLOOKUP(D158,stores!A:A,stores!B:B)</f>
        <v>Bitola</v>
      </c>
      <c r="I158" t="str">
        <f t="shared" si="4"/>
        <v>NORMAL</v>
      </c>
      <c r="J158" s="4" t="str">
        <f t="shared" si="5"/>
        <v>7</v>
      </c>
    </row>
    <row r="159" spans="1:10">
      <c r="A159" s="2">
        <v>158</v>
      </c>
      <c r="B159" s="3">
        <v>46215</v>
      </c>
      <c r="C159" s="2">
        <v>2</v>
      </c>
      <c r="D159" s="2">
        <v>2</v>
      </c>
      <c r="E159" s="2">
        <v>53.7</v>
      </c>
      <c r="F159" s="2">
        <v>4833</v>
      </c>
      <c r="G159" t="str">
        <f>_xlfn.XLOOKUP(C159,products!A:A,products!B:B)</f>
        <v>Banana</v>
      </c>
      <c r="H159" t="str">
        <f>_xlfn.XLOOKUP(D159,stores!A:A,stores!B:B)</f>
        <v>Ohrid</v>
      </c>
      <c r="I159" t="str">
        <f t="shared" si="4"/>
        <v>BIG</v>
      </c>
      <c r="J159" s="4" t="str">
        <f t="shared" si="5"/>
        <v>7</v>
      </c>
    </row>
    <row r="160" spans="1:10">
      <c r="A160" s="2">
        <v>159</v>
      </c>
      <c r="B160" s="3">
        <v>46215</v>
      </c>
      <c r="C160" s="2">
        <v>3</v>
      </c>
      <c r="D160" s="2">
        <v>1</v>
      </c>
      <c r="E160" s="2">
        <v>12.7</v>
      </c>
      <c r="F160" s="2">
        <v>1016</v>
      </c>
      <c r="G160" t="str">
        <f>_xlfn.XLOOKUP(C160,products!A:A,products!B:B)</f>
        <v>Orange</v>
      </c>
      <c r="H160" t="str">
        <f>_xlfn.XLOOKUP(D160,stores!A:A,stores!B:B)</f>
        <v>Bitola</v>
      </c>
      <c r="I160" t="str">
        <f t="shared" si="4"/>
        <v>NORMAL</v>
      </c>
      <c r="J160" s="4" t="str">
        <f t="shared" si="5"/>
        <v>7</v>
      </c>
    </row>
    <row r="161" spans="1:10">
      <c r="A161" s="2">
        <v>160</v>
      </c>
      <c r="B161" s="3">
        <v>46215</v>
      </c>
      <c r="C161" s="2">
        <v>3</v>
      </c>
      <c r="D161" s="2">
        <v>2</v>
      </c>
      <c r="E161" s="2">
        <v>19.9</v>
      </c>
      <c r="F161" s="2">
        <v>1592</v>
      </c>
      <c r="G161" t="str">
        <f>_xlfn.XLOOKUP(C161,products!A:A,products!B:B)</f>
        <v>Orange</v>
      </c>
      <c r="H161" t="str">
        <f>_xlfn.XLOOKUP(D161,stores!A:A,stores!B:B)</f>
        <v>Ohrid</v>
      </c>
      <c r="I161" t="str">
        <f t="shared" si="4"/>
        <v>NORMAL</v>
      </c>
      <c r="J161" s="4" t="str">
        <f t="shared" si="5"/>
        <v>7</v>
      </c>
    </row>
    <row r="162" spans="1:10">
      <c r="A162" s="2">
        <v>161</v>
      </c>
      <c r="B162" s="3">
        <v>46215</v>
      </c>
      <c r="C162" s="2">
        <v>4</v>
      </c>
      <c r="D162" s="2">
        <v>1</v>
      </c>
      <c r="E162" s="2">
        <v>109.8</v>
      </c>
      <c r="F162" s="2">
        <v>2745</v>
      </c>
      <c r="G162" t="str">
        <f>_xlfn.XLOOKUP(C162,products!A:A,products!B:B)</f>
        <v>Watermelon</v>
      </c>
      <c r="H162" t="str">
        <f>_xlfn.XLOOKUP(D162,stores!A:A,stores!B:B)</f>
        <v>Bitola</v>
      </c>
      <c r="I162" t="str">
        <f t="shared" si="4"/>
        <v>BIG</v>
      </c>
      <c r="J162" s="4" t="str">
        <f t="shared" si="5"/>
        <v>7</v>
      </c>
    </row>
    <row r="163" spans="1:10">
      <c r="A163" s="2">
        <v>162</v>
      </c>
      <c r="B163" s="3">
        <v>46215</v>
      </c>
      <c r="C163" s="2">
        <v>4</v>
      </c>
      <c r="D163" s="2">
        <v>2</v>
      </c>
      <c r="E163" s="2">
        <v>137.4</v>
      </c>
      <c r="F163" s="2">
        <v>3435</v>
      </c>
      <c r="G163" t="str">
        <f>_xlfn.XLOOKUP(C163,products!A:A,products!B:B)</f>
        <v>Watermelon</v>
      </c>
      <c r="H163" t="str">
        <f>_xlfn.XLOOKUP(D163,stores!A:A,stores!B:B)</f>
        <v>Ohrid</v>
      </c>
      <c r="I163" t="str">
        <f t="shared" si="4"/>
        <v>BIG</v>
      </c>
      <c r="J163" s="4" t="str">
        <f t="shared" si="5"/>
        <v>7</v>
      </c>
    </row>
    <row r="164" spans="1:10">
      <c r="A164" s="2">
        <v>163</v>
      </c>
      <c r="B164" s="3">
        <v>46215</v>
      </c>
      <c r="C164" s="2">
        <v>5</v>
      </c>
      <c r="D164" s="2">
        <v>1</v>
      </c>
      <c r="E164" s="2">
        <v>6.6</v>
      </c>
      <c r="F164" s="2">
        <v>726</v>
      </c>
      <c r="G164" t="str">
        <f>_xlfn.XLOOKUP(C164,products!A:A,products!B:B)</f>
        <v>Grapes</v>
      </c>
      <c r="H164" t="str">
        <f>_xlfn.XLOOKUP(D164,stores!A:A,stores!B:B)</f>
        <v>Bitola</v>
      </c>
      <c r="I164" t="str">
        <f t="shared" si="4"/>
        <v>NORMAL</v>
      </c>
      <c r="J164" s="4" t="str">
        <f t="shared" si="5"/>
        <v>7</v>
      </c>
    </row>
    <row r="165" spans="1:10">
      <c r="A165" s="2">
        <v>164</v>
      </c>
      <c r="B165" s="3">
        <v>46215</v>
      </c>
      <c r="C165" s="2">
        <v>5</v>
      </c>
      <c r="D165" s="2">
        <v>2</v>
      </c>
      <c r="E165" s="2">
        <v>12.5</v>
      </c>
      <c r="F165" s="2">
        <v>1375</v>
      </c>
      <c r="G165" t="str">
        <f>_xlfn.XLOOKUP(C165,products!A:A,products!B:B)</f>
        <v>Grapes</v>
      </c>
      <c r="H165" t="str">
        <f>_xlfn.XLOOKUP(D165,stores!A:A,stores!B:B)</f>
        <v>Ohrid</v>
      </c>
      <c r="I165" t="str">
        <f t="shared" si="4"/>
        <v>NORMAL</v>
      </c>
      <c r="J165" s="4" t="str">
        <f t="shared" si="5"/>
        <v>7</v>
      </c>
    </row>
    <row r="166" spans="1:10">
      <c r="A166" s="2">
        <v>165</v>
      </c>
      <c r="B166" s="3">
        <v>46215</v>
      </c>
      <c r="C166" s="2">
        <v>6</v>
      </c>
      <c r="D166" s="2">
        <v>1</v>
      </c>
      <c r="E166" s="2">
        <v>10.5</v>
      </c>
      <c r="F166" s="2">
        <v>2310</v>
      </c>
      <c r="G166" t="str">
        <f>_xlfn.XLOOKUP(C166,products!A:A,products!B:B)</f>
        <v>Strawberry</v>
      </c>
      <c r="H166" t="str">
        <f>_xlfn.XLOOKUP(D166,stores!A:A,stores!B:B)</f>
        <v>Bitola</v>
      </c>
      <c r="I166" t="str">
        <f t="shared" si="4"/>
        <v>NORMAL</v>
      </c>
      <c r="J166" s="4" t="str">
        <f t="shared" si="5"/>
        <v>7</v>
      </c>
    </row>
    <row r="167" spans="1:10">
      <c r="A167" s="2">
        <v>166</v>
      </c>
      <c r="B167" s="3">
        <v>46215</v>
      </c>
      <c r="C167" s="2">
        <v>6</v>
      </c>
      <c r="D167" s="2">
        <v>2</v>
      </c>
      <c r="E167" s="2">
        <v>13.2</v>
      </c>
      <c r="F167" s="2">
        <v>2904</v>
      </c>
      <c r="G167" t="str">
        <f>_xlfn.XLOOKUP(C167,products!A:A,products!B:B)</f>
        <v>Strawberry</v>
      </c>
      <c r="H167" t="str">
        <f>_xlfn.XLOOKUP(D167,stores!A:A,stores!B:B)</f>
        <v>Ohrid</v>
      </c>
      <c r="I167" t="str">
        <f t="shared" si="4"/>
        <v>NORMAL</v>
      </c>
      <c r="J167" s="4" t="str">
        <f t="shared" si="5"/>
        <v>7</v>
      </c>
    </row>
    <row r="168" spans="1:10">
      <c r="A168" s="2">
        <v>167</v>
      </c>
      <c r="B168" s="3">
        <v>46215</v>
      </c>
      <c r="C168" s="2">
        <v>7</v>
      </c>
      <c r="D168" s="2">
        <v>1</v>
      </c>
      <c r="E168" s="2">
        <v>28.1</v>
      </c>
      <c r="F168" s="2">
        <v>2670</v>
      </c>
      <c r="G168" t="str">
        <f>_xlfn.XLOOKUP(C168,products!A:A,products!B:B)</f>
        <v>Peach</v>
      </c>
      <c r="H168" t="str">
        <f>_xlfn.XLOOKUP(D168,stores!A:A,stores!B:B)</f>
        <v>Bitola</v>
      </c>
      <c r="I168" t="str">
        <f t="shared" si="4"/>
        <v>NORMAL</v>
      </c>
      <c r="J168" s="4" t="str">
        <f t="shared" si="5"/>
        <v>7</v>
      </c>
    </row>
    <row r="169" spans="1:10">
      <c r="A169" s="2">
        <v>168</v>
      </c>
      <c r="B169" s="3">
        <v>46215</v>
      </c>
      <c r="C169" s="2">
        <v>7</v>
      </c>
      <c r="D169" s="2">
        <v>2</v>
      </c>
      <c r="E169" s="2">
        <v>49.9</v>
      </c>
      <c r="F169" s="2">
        <v>4740</v>
      </c>
      <c r="G169" t="str">
        <f>_xlfn.XLOOKUP(C169,products!A:A,products!B:B)</f>
        <v>Peach</v>
      </c>
      <c r="H169" t="str">
        <f>_xlfn.XLOOKUP(D169,stores!A:A,stores!B:B)</f>
        <v>Ohrid</v>
      </c>
      <c r="I169" t="str">
        <f t="shared" si="4"/>
        <v>NORMAL</v>
      </c>
      <c r="J169" s="4" t="str">
        <f t="shared" si="5"/>
        <v>7</v>
      </c>
    </row>
    <row r="170" spans="1:10">
      <c r="A170" s="2">
        <v>169</v>
      </c>
      <c r="B170" s="3">
        <v>46216</v>
      </c>
      <c r="C170" s="2">
        <v>1</v>
      </c>
      <c r="D170" s="2">
        <v>1</v>
      </c>
      <c r="E170" s="2">
        <v>18.4</v>
      </c>
      <c r="F170" s="2">
        <v>1104</v>
      </c>
      <c r="G170" t="str">
        <f>_xlfn.XLOOKUP(C170,products!A:A,products!B:B)</f>
        <v>Apple</v>
      </c>
      <c r="H170" t="str">
        <f>_xlfn.XLOOKUP(D170,stores!A:A,stores!B:B)</f>
        <v>Bitola</v>
      </c>
      <c r="I170" t="str">
        <f t="shared" si="4"/>
        <v>NORMAL</v>
      </c>
      <c r="J170" s="4" t="str">
        <f t="shared" si="5"/>
        <v>7</v>
      </c>
    </row>
    <row r="171" spans="1:10">
      <c r="A171" s="2">
        <v>170</v>
      </c>
      <c r="B171" s="3">
        <v>46216</v>
      </c>
      <c r="C171" s="2">
        <v>1</v>
      </c>
      <c r="D171" s="2">
        <v>2</v>
      </c>
      <c r="E171" s="2">
        <v>27.8</v>
      </c>
      <c r="F171" s="2">
        <v>1668</v>
      </c>
      <c r="G171" t="str">
        <f>_xlfn.XLOOKUP(C171,products!A:A,products!B:B)</f>
        <v>Apple</v>
      </c>
      <c r="H171" t="str">
        <f>_xlfn.XLOOKUP(D171,stores!A:A,stores!B:B)</f>
        <v>Ohrid</v>
      </c>
      <c r="I171" t="str">
        <f t="shared" si="4"/>
        <v>NORMAL</v>
      </c>
      <c r="J171" s="4" t="str">
        <f t="shared" si="5"/>
        <v>7</v>
      </c>
    </row>
    <row r="172" spans="1:10">
      <c r="A172" s="2">
        <v>171</v>
      </c>
      <c r="B172" s="3">
        <v>46216</v>
      </c>
      <c r="C172" s="2">
        <v>2</v>
      </c>
      <c r="D172" s="2">
        <v>1</v>
      </c>
      <c r="E172" s="2">
        <v>31</v>
      </c>
      <c r="F172" s="2">
        <v>2790</v>
      </c>
      <c r="G172" t="str">
        <f>_xlfn.XLOOKUP(C172,products!A:A,products!B:B)</f>
        <v>Banana</v>
      </c>
      <c r="H172" t="str">
        <f>_xlfn.XLOOKUP(D172,stores!A:A,stores!B:B)</f>
        <v>Bitola</v>
      </c>
      <c r="I172" t="str">
        <f t="shared" si="4"/>
        <v>NORMAL</v>
      </c>
      <c r="J172" s="4" t="str">
        <f t="shared" si="5"/>
        <v>7</v>
      </c>
    </row>
    <row r="173" spans="1:10">
      <c r="A173" s="2">
        <v>172</v>
      </c>
      <c r="B173" s="3">
        <v>46216</v>
      </c>
      <c r="C173" s="2">
        <v>2</v>
      </c>
      <c r="D173" s="2">
        <v>2</v>
      </c>
      <c r="E173" s="2">
        <v>31.4</v>
      </c>
      <c r="F173" s="2">
        <v>2826</v>
      </c>
      <c r="G173" t="str">
        <f>_xlfn.XLOOKUP(C173,products!A:A,products!B:B)</f>
        <v>Banana</v>
      </c>
      <c r="H173" t="str">
        <f>_xlfn.XLOOKUP(D173,stores!A:A,stores!B:B)</f>
        <v>Ohrid</v>
      </c>
      <c r="I173" t="str">
        <f t="shared" si="4"/>
        <v>NORMAL</v>
      </c>
      <c r="J173" s="4" t="str">
        <f t="shared" si="5"/>
        <v>7</v>
      </c>
    </row>
    <row r="174" spans="1:10">
      <c r="A174" s="2">
        <v>173</v>
      </c>
      <c r="B174" s="3">
        <v>46216</v>
      </c>
      <c r="C174" s="2">
        <v>3</v>
      </c>
      <c r="D174" s="2">
        <v>1</v>
      </c>
      <c r="E174" s="2">
        <v>6.5</v>
      </c>
      <c r="F174" s="2">
        <v>520</v>
      </c>
      <c r="G174" t="str">
        <f>_xlfn.XLOOKUP(C174,products!A:A,products!B:B)</f>
        <v>Orange</v>
      </c>
      <c r="H174" t="str">
        <f>_xlfn.XLOOKUP(D174,stores!A:A,stores!B:B)</f>
        <v>Bitola</v>
      </c>
      <c r="I174" t="str">
        <f t="shared" si="4"/>
        <v>NORMAL</v>
      </c>
      <c r="J174" s="4" t="str">
        <f t="shared" si="5"/>
        <v>7</v>
      </c>
    </row>
    <row r="175" spans="1:10">
      <c r="A175" s="2">
        <v>174</v>
      </c>
      <c r="B175" s="3">
        <v>46216</v>
      </c>
      <c r="C175" s="2">
        <v>3</v>
      </c>
      <c r="D175" s="2">
        <v>2</v>
      </c>
      <c r="E175" s="2">
        <v>14.8</v>
      </c>
      <c r="F175" s="2">
        <v>1184</v>
      </c>
      <c r="G175" t="str">
        <f>_xlfn.XLOOKUP(C175,products!A:A,products!B:B)</f>
        <v>Orange</v>
      </c>
      <c r="H175" t="str">
        <f>_xlfn.XLOOKUP(D175,stores!A:A,stores!B:B)</f>
        <v>Ohrid</v>
      </c>
      <c r="I175" t="str">
        <f t="shared" si="4"/>
        <v>NORMAL</v>
      </c>
      <c r="J175" s="4" t="str">
        <f t="shared" si="5"/>
        <v>7</v>
      </c>
    </row>
    <row r="176" spans="1:10">
      <c r="A176" s="2">
        <v>175</v>
      </c>
      <c r="B176" s="3">
        <v>46216</v>
      </c>
      <c r="C176" s="2">
        <v>4</v>
      </c>
      <c r="D176" s="2">
        <v>1</v>
      </c>
      <c r="E176" s="2">
        <v>73.2</v>
      </c>
      <c r="F176" s="2">
        <v>1830</v>
      </c>
      <c r="G176" t="str">
        <f>_xlfn.XLOOKUP(C176,products!A:A,products!B:B)</f>
        <v>Watermelon</v>
      </c>
      <c r="H176" t="str">
        <f>_xlfn.XLOOKUP(D176,stores!A:A,stores!B:B)</f>
        <v>Bitola</v>
      </c>
      <c r="I176" t="str">
        <f t="shared" si="4"/>
        <v>BIG</v>
      </c>
      <c r="J176" s="4" t="str">
        <f t="shared" si="5"/>
        <v>7</v>
      </c>
    </row>
    <row r="177" spans="1:10">
      <c r="A177" s="2">
        <v>176</v>
      </c>
      <c r="B177" s="3">
        <v>46216</v>
      </c>
      <c r="C177" s="2">
        <v>4</v>
      </c>
      <c r="D177" s="2">
        <v>2</v>
      </c>
      <c r="E177" s="2">
        <v>86.1</v>
      </c>
      <c r="F177" s="2">
        <v>2152</v>
      </c>
      <c r="G177" t="str">
        <f>_xlfn.XLOOKUP(C177,products!A:A,products!B:B)</f>
        <v>Watermelon</v>
      </c>
      <c r="H177" t="str">
        <f>_xlfn.XLOOKUP(D177,stores!A:A,stores!B:B)</f>
        <v>Ohrid</v>
      </c>
      <c r="I177" t="str">
        <f t="shared" si="4"/>
        <v>BIG</v>
      </c>
      <c r="J177" s="4" t="str">
        <f t="shared" si="5"/>
        <v>7</v>
      </c>
    </row>
    <row r="178" spans="1:10">
      <c r="A178" s="2">
        <v>177</v>
      </c>
      <c r="B178" s="3">
        <v>46216</v>
      </c>
      <c r="C178" s="2">
        <v>5</v>
      </c>
      <c r="D178" s="2">
        <v>1</v>
      </c>
      <c r="E178" s="2">
        <v>5.9</v>
      </c>
      <c r="F178" s="2">
        <v>649</v>
      </c>
      <c r="G178" t="str">
        <f>_xlfn.XLOOKUP(C178,products!A:A,products!B:B)</f>
        <v>Grapes</v>
      </c>
      <c r="H178" t="str">
        <f>_xlfn.XLOOKUP(D178,stores!A:A,stores!B:B)</f>
        <v>Bitola</v>
      </c>
      <c r="I178" t="str">
        <f t="shared" si="4"/>
        <v>NORMAL</v>
      </c>
      <c r="J178" s="4" t="str">
        <f t="shared" si="5"/>
        <v>7</v>
      </c>
    </row>
    <row r="179" spans="1:10">
      <c r="A179" s="2">
        <v>178</v>
      </c>
      <c r="B179" s="3">
        <v>46216</v>
      </c>
      <c r="C179" s="2">
        <v>5</v>
      </c>
      <c r="D179" s="2">
        <v>2</v>
      </c>
      <c r="E179" s="2">
        <v>7.9</v>
      </c>
      <c r="F179" s="2">
        <v>869</v>
      </c>
      <c r="G179" t="str">
        <f>_xlfn.XLOOKUP(C179,products!A:A,products!B:B)</f>
        <v>Grapes</v>
      </c>
      <c r="H179" t="str">
        <f>_xlfn.XLOOKUP(D179,stores!A:A,stores!B:B)</f>
        <v>Ohrid</v>
      </c>
      <c r="I179" t="str">
        <f t="shared" si="4"/>
        <v>NORMAL</v>
      </c>
      <c r="J179" s="4" t="str">
        <f t="shared" si="5"/>
        <v>7</v>
      </c>
    </row>
    <row r="180" spans="1:10">
      <c r="A180" s="2">
        <v>179</v>
      </c>
      <c r="B180" s="3">
        <v>46216</v>
      </c>
      <c r="C180" s="2">
        <v>6</v>
      </c>
      <c r="D180" s="2">
        <v>1</v>
      </c>
      <c r="E180" s="2">
        <v>6.4</v>
      </c>
      <c r="F180" s="2">
        <v>1408</v>
      </c>
      <c r="G180" t="str">
        <f>_xlfn.XLOOKUP(C180,products!A:A,products!B:B)</f>
        <v>Strawberry</v>
      </c>
      <c r="H180" t="str">
        <f>_xlfn.XLOOKUP(D180,stores!A:A,stores!B:B)</f>
        <v>Bitola</v>
      </c>
      <c r="I180" t="str">
        <f t="shared" si="4"/>
        <v>NORMAL</v>
      </c>
      <c r="J180" s="4" t="str">
        <f t="shared" si="5"/>
        <v>7</v>
      </c>
    </row>
    <row r="181" spans="1:10">
      <c r="A181" s="2">
        <v>180</v>
      </c>
      <c r="B181" s="3">
        <v>46216</v>
      </c>
      <c r="C181" s="2">
        <v>6</v>
      </c>
      <c r="D181" s="2">
        <v>2</v>
      </c>
      <c r="E181" s="2">
        <v>12.4</v>
      </c>
      <c r="F181" s="2">
        <v>2728</v>
      </c>
      <c r="G181" t="str">
        <f>_xlfn.XLOOKUP(C181,products!A:A,products!B:B)</f>
        <v>Strawberry</v>
      </c>
      <c r="H181" t="str">
        <f>_xlfn.XLOOKUP(D181,stores!A:A,stores!B:B)</f>
        <v>Ohrid</v>
      </c>
      <c r="I181" t="str">
        <f t="shared" si="4"/>
        <v>NORMAL</v>
      </c>
      <c r="J181" s="4" t="str">
        <f t="shared" si="5"/>
        <v>7</v>
      </c>
    </row>
    <row r="182" spans="1:10">
      <c r="A182" s="2">
        <v>181</v>
      </c>
      <c r="B182" s="3">
        <v>46216</v>
      </c>
      <c r="C182" s="2">
        <v>7</v>
      </c>
      <c r="D182" s="2">
        <v>1</v>
      </c>
      <c r="E182" s="2">
        <v>21.1</v>
      </c>
      <c r="F182" s="2">
        <v>2005</v>
      </c>
      <c r="G182" t="str">
        <f>_xlfn.XLOOKUP(C182,products!A:A,products!B:B)</f>
        <v>Peach</v>
      </c>
      <c r="H182" t="str">
        <f>_xlfn.XLOOKUP(D182,stores!A:A,stores!B:B)</f>
        <v>Bitola</v>
      </c>
      <c r="I182" t="str">
        <f t="shared" si="4"/>
        <v>NORMAL</v>
      </c>
      <c r="J182" s="4" t="str">
        <f t="shared" si="5"/>
        <v>7</v>
      </c>
    </row>
    <row r="183" spans="1:10">
      <c r="A183" s="2">
        <v>182</v>
      </c>
      <c r="B183" s="3">
        <v>46216</v>
      </c>
      <c r="C183" s="2">
        <v>7</v>
      </c>
      <c r="D183" s="2">
        <v>2</v>
      </c>
      <c r="E183" s="2">
        <v>21.7</v>
      </c>
      <c r="F183" s="2">
        <v>2062</v>
      </c>
      <c r="G183" t="str">
        <f>_xlfn.XLOOKUP(C183,products!A:A,products!B:B)</f>
        <v>Peach</v>
      </c>
      <c r="H183" t="str">
        <f>_xlfn.XLOOKUP(D183,stores!A:A,stores!B:B)</f>
        <v>Ohrid</v>
      </c>
      <c r="I183" t="str">
        <f t="shared" si="4"/>
        <v>NORMAL</v>
      </c>
      <c r="J183" s="4" t="str">
        <f t="shared" si="5"/>
        <v>7</v>
      </c>
    </row>
    <row r="184" spans="1:10">
      <c r="A184" s="2">
        <v>183</v>
      </c>
      <c r="B184" s="3">
        <v>46217</v>
      </c>
      <c r="C184" s="2">
        <v>1</v>
      </c>
      <c r="D184" s="2">
        <v>1</v>
      </c>
      <c r="E184" s="2">
        <v>19.6</v>
      </c>
      <c r="F184" s="2">
        <v>1176</v>
      </c>
      <c r="G184" t="str">
        <f>_xlfn.XLOOKUP(C184,products!A:A,products!B:B)</f>
        <v>Apple</v>
      </c>
      <c r="H184" t="str">
        <f>_xlfn.XLOOKUP(D184,stores!A:A,stores!B:B)</f>
        <v>Bitola</v>
      </c>
      <c r="I184" t="str">
        <f t="shared" si="4"/>
        <v>NORMAL</v>
      </c>
      <c r="J184" s="4" t="str">
        <f t="shared" si="5"/>
        <v>7</v>
      </c>
    </row>
    <row r="185" spans="1:10">
      <c r="A185" s="2">
        <v>184</v>
      </c>
      <c r="B185" s="3">
        <v>46217</v>
      </c>
      <c r="C185" s="2">
        <v>1</v>
      </c>
      <c r="D185" s="2">
        <v>2</v>
      </c>
      <c r="E185" s="2">
        <v>25</v>
      </c>
      <c r="F185" s="2">
        <v>1500</v>
      </c>
      <c r="G185" t="str">
        <f>_xlfn.XLOOKUP(C185,products!A:A,products!B:B)</f>
        <v>Apple</v>
      </c>
      <c r="H185" t="str">
        <f>_xlfn.XLOOKUP(D185,stores!A:A,stores!B:B)</f>
        <v>Ohrid</v>
      </c>
      <c r="I185" t="str">
        <f t="shared" si="4"/>
        <v>NORMAL</v>
      </c>
      <c r="J185" s="4" t="str">
        <f t="shared" si="5"/>
        <v>7</v>
      </c>
    </row>
    <row r="186" spans="1:10">
      <c r="A186" s="2">
        <v>185</v>
      </c>
      <c r="B186" s="3">
        <v>46217</v>
      </c>
      <c r="C186" s="2">
        <v>2</v>
      </c>
      <c r="D186" s="2">
        <v>1</v>
      </c>
      <c r="E186" s="2">
        <v>21.3</v>
      </c>
      <c r="F186" s="2">
        <v>1917</v>
      </c>
      <c r="G186" t="str">
        <f>_xlfn.XLOOKUP(C186,products!A:A,products!B:B)</f>
        <v>Banana</v>
      </c>
      <c r="H186" t="str">
        <f>_xlfn.XLOOKUP(D186,stores!A:A,stores!B:B)</f>
        <v>Bitola</v>
      </c>
      <c r="I186" t="str">
        <f t="shared" si="4"/>
        <v>NORMAL</v>
      </c>
      <c r="J186" s="4" t="str">
        <f t="shared" si="5"/>
        <v>7</v>
      </c>
    </row>
    <row r="187" spans="1:10">
      <c r="A187" s="2">
        <v>186</v>
      </c>
      <c r="B187" s="3">
        <v>46217</v>
      </c>
      <c r="C187" s="2">
        <v>2</v>
      </c>
      <c r="D187" s="2">
        <v>2</v>
      </c>
      <c r="E187" s="2">
        <v>38.7</v>
      </c>
      <c r="F187" s="2">
        <v>3483</v>
      </c>
      <c r="G187" t="str">
        <f>_xlfn.XLOOKUP(C187,products!A:A,products!B:B)</f>
        <v>Banana</v>
      </c>
      <c r="H187" t="str">
        <f>_xlfn.XLOOKUP(D187,stores!A:A,stores!B:B)</f>
        <v>Ohrid</v>
      </c>
      <c r="I187" t="str">
        <f t="shared" si="4"/>
        <v>NORMAL</v>
      </c>
      <c r="J187" s="4" t="str">
        <f t="shared" si="5"/>
        <v>7</v>
      </c>
    </row>
    <row r="188" spans="1:10">
      <c r="A188" s="2">
        <v>187</v>
      </c>
      <c r="B188" s="3">
        <v>46217</v>
      </c>
      <c r="C188" s="2">
        <v>3</v>
      </c>
      <c r="D188" s="2">
        <v>1</v>
      </c>
      <c r="E188" s="2">
        <v>11</v>
      </c>
      <c r="F188" s="2">
        <v>880</v>
      </c>
      <c r="G188" t="str">
        <f>_xlfn.XLOOKUP(C188,products!A:A,products!B:B)</f>
        <v>Orange</v>
      </c>
      <c r="H188" t="str">
        <f>_xlfn.XLOOKUP(D188,stores!A:A,stores!B:B)</f>
        <v>Bitola</v>
      </c>
      <c r="I188" t="str">
        <f t="shared" si="4"/>
        <v>NORMAL</v>
      </c>
      <c r="J188" s="4" t="str">
        <f t="shared" si="5"/>
        <v>7</v>
      </c>
    </row>
    <row r="189" spans="1:10">
      <c r="A189" s="2">
        <v>188</v>
      </c>
      <c r="B189" s="3">
        <v>46217</v>
      </c>
      <c r="C189" s="2">
        <v>3</v>
      </c>
      <c r="D189" s="2">
        <v>2</v>
      </c>
      <c r="E189" s="2">
        <v>12.4</v>
      </c>
      <c r="F189" s="2">
        <v>992</v>
      </c>
      <c r="G189" t="str">
        <f>_xlfn.XLOOKUP(C189,products!A:A,products!B:B)</f>
        <v>Orange</v>
      </c>
      <c r="H189" t="str">
        <f>_xlfn.XLOOKUP(D189,stores!A:A,stores!B:B)</f>
        <v>Ohrid</v>
      </c>
      <c r="I189" t="str">
        <f t="shared" si="4"/>
        <v>NORMAL</v>
      </c>
      <c r="J189" s="4" t="str">
        <f t="shared" si="5"/>
        <v>7</v>
      </c>
    </row>
    <row r="190" spans="1:10">
      <c r="A190" s="2">
        <v>189</v>
      </c>
      <c r="B190" s="3">
        <v>46217</v>
      </c>
      <c r="C190" s="2">
        <v>4</v>
      </c>
      <c r="D190" s="2">
        <v>1</v>
      </c>
      <c r="E190" s="2">
        <v>75.6</v>
      </c>
      <c r="F190" s="2">
        <v>1890</v>
      </c>
      <c r="G190" t="str">
        <f>_xlfn.XLOOKUP(C190,products!A:A,products!B:B)</f>
        <v>Watermelon</v>
      </c>
      <c r="H190" t="str">
        <f>_xlfn.XLOOKUP(D190,stores!A:A,stores!B:B)</f>
        <v>Bitola</v>
      </c>
      <c r="I190" t="str">
        <f t="shared" si="4"/>
        <v>BIG</v>
      </c>
      <c r="J190" s="4" t="str">
        <f t="shared" si="5"/>
        <v>7</v>
      </c>
    </row>
    <row r="191" spans="1:10">
      <c r="A191" s="2">
        <v>190</v>
      </c>
      <c r="B191" s="3">
        <v>46217</v>
      </c>
      <c r="C191" s="2">
        <v>4</v>
      </c>
      <c r="D191" s="2">
        <v>2</v>
      </c>
      <c r="E191" s="2">
        <v>117.9</v>
      </c>
      <c r="F191" s="2">
        <v>2948</v>
      </c>
      <c r="G191" t="str">
        <f>_xlfn.XLOOKUP(C191,products!A:A,products!B:B)</f>
        <v>Watermelon</v>
      </c>
      <c r="H191" t="str">
        <f>_xlfn.XLOOKUP(D191,stores!A:A,stores!B:B)</f>
        <v>Ohrid</v>
      </c>
      <c r="I191" t="str">
        <f t="shared" si="4"/>
        <v>BIG</v>
      </c>
      <c r="J191" s="4" t="str">
        <f t="shared" si="5"/>
        <v>7</v>
      </c>
    </row>
    <row r="192" spans="1:10">
      <c r="A192" s="2">
        <v>191</v>
      </c>
      <c r="B192" s="3">
        <v>46217</v>
      </c>
      <c r="C192" s="2">
        <v>5</v>
      </c>
      <c r="D192" s="2">
        <v>1</v>
      </c>
      <c r="E192" s="2">
        <v>4.3</v>
      </c>
      <c r="F192" s="2">
        <v>473</v>
      </c>
      <c r="G192" t="str">
        <f>_xlfn.XLOOKUP(C192,products!A:A,products!B:B)</f>
        <v>Grapes</v>
      </c>
      <c r="H192" t="str">
        <f>_xlfn.XLOOKUP(D192,stores!A:A,stores!B:B)</f>
        <v>Bitola</v>
      </c>
      <c r="I192" t="str">
        <f t="shared" si="4"/>
        <v>NORMAL</v>
      </c>
      <c r="J192" s="4" t="str">
        <f t="shared" si="5"/>
        <v>7</v>
      </c>
    </row>
    <row r="193" spans="1:10">
      <c r="A193" s="2">
        <v>192</v>
      </c>
      <c r="B193" s="3">
        <v>46217</v>
      </c>
      <c r="C193" s="2">
        <v>5</v>
      </c>
      <c r="D193" s="2">
        <v>2</v>
      </c>
      <c r="E193" s="2">
        <v>7.5</v>
      </c>
      <c r="F193" s="2">
        <v>825</v>
      </c>
      <c r="G193" t="str">
        <f>_xlfn.XLOOKUP(C193,products!A:A,products!B:B)</f>
        <v>Grapes</v>
      </c>
      <c r="H193" t="str">
        <f>_xlfn.XLOOKUP(D193,stores!A:A,stores!B:B)</f>
        <v>Ohrid</v>
      </c>
      <c r="I193" t="str">
        <f t="shared" si="4"/>
        <v>NORMAL</v>
      </c>
      <c r="J193" s="4" t="str">
        <f t="shared" si="5"/>
        <v>7</v>
      </c>
    </row>
    <row r="194" spans="1:10">
      <c r="A194" s="2">
        <v>193</v>
      </c>
      <c r="B194" s="3">
        <v>46217</v>
      </c>
      <c r="C194" s="2">
        <v>6</v>
      </c>
      <c r="D194" s="2">
        <v>1</v>
      </c>
      <c r="E194" s="2">
        <v>8</v>
      </c>
      <c r="F194" s="2">
        <v>1760</v>
      </c>
      <c r="G194" t="str">
        <f>_xlfn.XLOOKUP(C194,products!A:A,products!B:B)</f>
        <v>Strawberry</v>
      </c>
      <c r="H194" t="str">
        <f>_xlfn.XLOOKUP(D194,stores!A:A,stores!B:B)</f>
        <v>Bitola</v>
      </c>
      <c r="I194" t="str">
        <f t="shared" ref="I194:I257" si="6">IF(E194&gt;50,"BIG","NORMAL")</f>
        <v>NORMAL</v>
      </c>
      <c r="J194" s="4" t="str">
        <f t="shared" ref="J194:J257" si="7">TEXT(B194,"m")</f>
        <v>7</v>
      </c>
    </row>
    <row r="195" spans="1:10">
      <c r="A195" s="2">
        <v>194</v>
      </c>
      <c r="B195" s="3">
        <v>46217</v>
      </c>
      <c r="C195" s="2">
        <v>6</v>
      </c>
      <c r="D195" s="2">
        <v>2</v>
      </c>
      <c r="E195" s="2">
        <v>16.3</v>
      </c>
      <c r="F195" s="2">
        <v>3586</v>
      </c>
      <c r="G195" t="str">
        <f>_xlfn.XLOOKUP(C195,products!A:A,products!B:B)</f>
        <v>Strawberry</v>
      </c>
      <c r="H195" t="str">
        <f>_xlfn.XLOOKUP(D195,stores!A:A,stores!B:B)</f>
        <v>Ohrid</v>
      </c>
      <c r="I195" t="str">
        <f t="shared" si="6"/>
        <v>NORMAL</v>
      </c>
      <c r="J195" s="4" t="str">
        <f t="shared" si="7"/>
        <v>7</v>
      </c>
    </row>
    <row r="196" spans="1:10">
      <c r="A196" s="2">
        <v>195</v>
      </c>
      <c r="B196" s="3">
        <v>46217</v>
      </c>
      <c r="C196" s="2">
        <v>7</v>
      </c>
      <c r="D196" s="2">
        <v>1</v>
      </c>
      <c r="E196" s="2">
        <v>13.8</v>
      </c>
      <c r="F196" s="2">
        <v>1311</v>
      </c>
      <c r="G196" t="str">
        <f>_xlfn.XLOOKUP(C196,products!A:A,products!B:B)</f>
        <v>Peach</v>
      </c>
      <c r="H196" t="str">
        <f>_xlfn.XLOOKUP(D196,stores!A:A,stores!B:B)</f>
        <v>Bitola</v>
      </c>
      <c r="I196" t="str">
        <f t="shared" si="6"/>
        <v>NORMAL</v>
      </c>
      <c r="J196" s="4" t="str">
        <f t="shared" si="7"/>
        <v>7</v>
      </c>
    </row>
    <row r="197" spans="1:10">
      <c r="A197" s="2">
        <v>196</v>
      </c>
      <c r="B197" s="3">
        <v>46217</v>
      </c>
      <c r="C197" s="2">
        <v>7</v>
      </c>
      <c r="D197" s="2">
        <v>2</v>
      </c>
      <c r="E197" s="2">
        <v>35.1</v>
      </c>
      <c r="F197" s="2">
        <v>3334</v>
      </c>
      <c r="G197" t="str">
        <f>_xlfn.XLOOKUP(C197,products!A:A,products!B:B)</f>
        <v>Peach</v>
      </c>
      <c r="H197" t="str">
        <f>_xlfn.XLOOKUP(D197,stores!A:A,stores!B:B)</f>
        <v>Ohrid</v>
      </c>
      <c r="I197" t="str">
        <f t="shared" si="6"/>
        <v>NORMAL</v>
      </c>
      <c r="J197" s="4" t="str">
        <f t="shared" si="7"/>
        <v>7</v>
      </c>
    </row>
    <row r="198" spans="1:10">
      <c r="A198" s="2">
        <v>197</v>
      </c>
      <c r="B198" s="3">
        <v>46218</v>
      </c>
      <c r="C198" s="2">
        <v>1</v>
      </c>
      <c r="D198" s="2">
        <v>1</v>
      </c>
      <c r="E198" s="2">
        <v>16.9</v>
      </c>
      <c r="F198" s="2">
        <v>1014</v>
      </c>
      <c r="G198" t="str">
        <f>_xlfn.XLOOKUP(C198,products!A:A,products!B:B)</f>
        <v>Apple</v>
      </c>
      <c r="H198" t="str">
        <f>_xlfn.XLOOKUP(D198,stores!A:A,stores!B:B)</f>
        <v>Bitola</v>
      </c>
      <c r="I198" t="str">
        <f t="shared" si="6"/>
        <v>NORMAL</v>
      </c>
      <c r="J198" s="4" t="str">
        <f t="shared" si="7"/>
        <v>7</v>
      </c>
    </row>
    <row r="199" spans="1:10">
      <c r="A199" s="2">
        <v>198</v>
      </c>
      <c r="B199" s="3">
        <v>46218</v>
      </c>
      <c r="C199" s="2">
        <v>1</v>
      </c>
      <c r="D199" s="2">
        <v>2</v>
      </c>
      <c r="E199" s="2">
        <v>24.7</v>
      </c>
      <c r="F199" s="2">
        <v>1482</v>
      </c>
      <c r="G199" t="str">
        <f>_xlfn.XLOOKUP(C199,products!A:A,products!B:B)</f>
        <v>Apple</v>
      </c>
      <c r="H199" t="str">
        <f>_xlfn.XLOOKUP(D199,stores!A:A,stores!B:B)</f>
        <v>Ohrid</v>
      </c>
      <c r="I199" t="str">
        <f t="shared" si="6"/>
        <v>NORMAL</v>
      </c>
      <c r="J199" s="4" t="str">
        <f t="shared" si="7"/>
        <v>7</v>
      </c>
    </row>
    <row r="200" spans="1:10">
      <c r="A200" s="2">
        <v>199</v>
      </c>
      <c r="B200" s="3">
        <v>46218</v>
      </c>
      <c r="C200" s="2">
        <v>2</v>
      </c>
      <c r="D200" s="2">
        <v>1</v>
      </c>
      <c r="E200" s="2">
        <v>34.5</v>
      </c>
      <c r="F200" s="2">
        <v>3105</v>
      </c>
      <c r="G200" t="str">
        <f>_xlfn.XLOOKUP(C200,products!A:A,products!B:B)</f>
        <v>Banana</v>
      </c>
      <c r="H200" t="str">
        <f>_xlfn.XLOOKUP(D200,stores!A:A,stores!B:B)</f>
        <v>Bitola</v>
      </c>
      <c r="I200" t="str">
        <f t="shared" si="6"/>
        <v>NORMAL</v>
      </c>
      <c r="J200" s="4" t="str">
        <f t="shared" si="7"/>
        <v>7</v>
      </c>
    </row>
    <row r="201" spans="1:10">
      <c r="A201" s="2">
        <v>200</v>
      </c>
      <c r="B201" s="3">
        <v>46218</v>
      </c>
      <c r="C201" s="2">
        <v>2</v>
      </c>
      <c r="D201" s="2">
        <v>2</v>
      </c>
      <c r="E201" s="2">
        <v>34.9</v>
      </c>
      <c r="F201" s="2">
        <v>3141</v>
      </c>
      <c r="G201" t="str">
        <f>_xlfn.XLOOKUP(C201,products!A:A,products!B:B)</f>
        <v>Banana</v>
      </c>
      <c r="H201" t="str">
        <f>_xlfn.XLOOKUP(D201,stores!A:A,stores!B:B)</f>
        <v>Ohrid</v>
      </c>
      <c r="I201" t="str">
        <f t="shared" si="6"/>
        <v>NORMAL</v>
      </c>
      <c r="J201" s="4" t="str">
        <f t="shared" si="7"/>
        <v>7</v>
      </c>
    </row>
    <row r="202" spans="1:10">
      <c r="A202" s="2">
        <v>201</v>
      </c>
      <c r="B202" s="3">
        <v>46218</v>
      </c>
      <c r="C202" s="2">
        <v>3</v>
      </c>
      <c r="D202" s="2">
        <v>1</v>
      </c>
      <c r="E202" s="2">
        <v>14.5</v>
      </c>
      <c r="F202" s="2">
        <v>1160</v>
      </c>
      <c r="G202" t="str">
        <f>_xlfn.XLOOKUP(C202,products!A:A,products!B:B)</f>
        <v>Orange</v>
      </c>
      <c r="H202" t="str">
        <f>_xlfn.XLOOKUP(D202,stores!A:A,stores!B:B)</f>
        <v>Bitola</v>
      </c>
      <c r="I202" t="str">
        <f t="shared" si="6"/>
        <v>NORMAL</v>
      </c>
      <c r="J202" s="4" t="str">
        <f t="shared" si="7"/>
        <v>7</v>
      </c>
    </row>
    <row r="203" spans="1:10">
      <c r="A203" s="2">
        <v>202</v>
      </c>
      <c r="B203" s="3">
        <v>46218</v>
      </c>
      <c r="C203" s="2">
        <v>3</v>
      </c>
      <c r="D203" s="2">
        <v>2</v>
      </c>
      <c r="E203" s="2">
        <v>12.8</v>
      </c>
      <c r="F203" s="2">
        <v>1024</v>
      </c>
      <c r="G203" t="str">
        <f>_xlfn.XLOOKUP(C203,products!A:A,products!B:B)</f>
        <v>Orange</v>
      </c>
      <c r="H203" t="str">
        <f>_xlfn.XLOOKUP(D203,stores!A:A,stores!B:B)</f>
        <v>Ohrid</v>
      </c>
      <c r="I203" t="str">
        <f t="shared" si="6"/>
        <v>NORMAL</v>
      </c>
      <c r="J203" s="4" t="str">
        <f t="shared" si="7"/>
        <v>7</v>
      </c>
    </row>
    <row r="204" spans="1:10">
      <c r="A204" s="2">
        <v>203</v>
      </c>
      <c r="B204" s="3">
        <v>46218</v>
      </c>
      <c r="C204" s="2">
        <v>4</v>
      </c>
      <c r="D204" s="2">
        <v>1</v>
      </c>
      <c r="E204" s="2">
        <v>74.9</v>
      </c>
      <c r="F204" s="2">
        <v>1873</v>
      </c>
      <c r="G204" t="str">
        <f>_xlfn.XLOOKUP(C204,products!A:A,products!B:B)</f>
        <v>Watermelon</v>
      </c>
      <c r="H204" t="str">
        <f>_xlfn.XLOOKUP(D204,stores!A:A,stores!B:B)</f>
        <v>Bitola</v>
      </c>
      <c r="I204" t="str">
        <f t="shared" si="6"/>
        <v>BIG</v>
      </c>
      <c r="J204" s="4" t="str">
        <f t="shared" si="7"/>
        <v>7</v>
      </c>
    </row>
    <row r="205" spans="1:10">
      <c r="A205" s="2">
        <v>204</v>
      </c>
      <c r="B205" s="3">
        <v>46218</v>
      </c>
      <c r="C205" s="2">
        <v>4</v>
      </c>
      <c r="D205" s="2">
        <v>2</v>
      </c>
      <c r="E205" s="2">
        <v>88.4</v>
      </c>
      <c r="F205" s="2">
        <v>2210</v>
      </c>
      <c r="G205" t="str">
        <f>_xlfn.XLOOKUP(C205,products!A:A,products!B:B)</f>
        <v>Watermelon</v>
      </c>
      <c r="H205" t="str">
        <f>_xlfn.XLOOKUP(D205,stores!A:A,stores!B:B)</f>
        <v>Ohrid</v>
      </c>
      <c r="I205" t="str">
        <f t="shared" si="6"/>
        <v>BIG</v>
      </c>
      <c r="J205" s="4" t="str">
        <f t="shared" si="7"/>
        <v>7</v>
      </c>
    </row>
    <row r="206" spans="1:10">
      <c r="A206" s="2">
        <v>205</v>
      </c>
      <c r="B206" s="3">
        <v>46218</v>
      </c>
      <c r="C206" s="2">
        <v>5</v>
      </c>
      <c r="D206" s="2">
        <v>1</v>
      </c>
      <c r="E206" s="2">
        <v>4.3</v>
      </c>
      <c r="F206" s="2">
        <v>473</v>
      </c>
      <c r="G206" t="str">
        <f>_xlfn.XLOOKUP(C206,products!A:A,products!B:B)</f>
        <v>Grapes</v>
      </c>
      <c r="H206" t="str">
        <f>_xlfn.XLOOKUP(D206,stores!A:A,stores!B:B)</f>
        <v>Bitola</v>
      </c>
      <c r="I206" t="str">
        <f t="shared" si="6"/>
        <v>NORMAL</v>
      </c>
      <c r="J206" s="4" t="str">
        <f t="shared" si="7"/>
        <v>7</v>
      </c>
    </row>
    <row r="207" spans="1:10">
      <c r="A207" s="2">
        <v>206</v>
      </c>
      <c r="B207" s="3">
        <v>46218</v>
      </c>
      <c r="C207" s="2">
        <v>5</v>
      </c>
      <c r="D207" s="2">
        <v>2</v>
      </c>
      <c r="E207" s="2">
        <v>7.1</v>
      </c>
      <c r="F207" s="2">
        <v>781</v>
      </c>
      <c r="G207" t="str">
        <f>_xlfn.XLOOKUP(C207,products!A:A,products!B:B)</f>
        <v>Grapes</v>
      </c>
      <c r="H207" t="str">
        <f>_xlfn.XLOOKUP(D207,stores!A:A,stores!B:B)</f>
        <v>Ohrid</v>
      </c>
      <c r="I207" t="str">
        <f t="shared" si="6"/>
        <v>NORMAL</v>
      </c>
      <c r="J207" s="4" t="str">
        <f t="shared" si="7"/>
        <v>7</v>
      </c>
    </row>
    <row r="208" spans="1:10">
      <c r="A208" s="2">
        <v>207</v>
      </c>
      <c r="B208" s="3">
        <v>46218</v>
      </c>
      <c r="C208" s="2">
        <v>6</v>
      </c>
      <c r="D208" s="2">
        <v>1</v>
      </c>
      <c r="E208" s="2">
        <v>7.5</v>
      </c>
      <c r="F208" s="2">
        <v>1650</v>
      </c>
      <c r="G208" t="str">
        <f>_xlfn.XLOOKUP(C208,products!A:A,products!B:B)</f>
        <v>Strawberry</v>
      </c>
      <c r="H208" t="str">
        <f>_xlfn.XLOOKUP(D208,stores!A:A,stores!B:B)</f>
        <v>Bitola</v>
      </c>
      <c r="I208" t="str">
        <f t="shared" si="6"/>
        <v>NORMAL</v>
      </c>
      <c r="J208" s="4" t="str">
        <f t="shared" si="7"/>
        <v>7</v>
      </c>
    </row>
    <row r="209" spans="1:10">
      <c r="A209" s="2">
        <v>208</v>
      </c>
      <c r="B209" s="3">
        <v>46218</v>
      </c>
      <c r="C209" s="2">
        <v>6</v>
      </c>
      <c r="D209" s="2">
        <v>2</v>
      </c>
      <c r="E209" s="2">
        <v>11.7</v>
      </c>
      <c r="F209" s="2">
        <v>2574</v>
      </c>
      <c r="G209" t="str">
        <f>_xlfn.XLOOKUP(C209,products!A:A,products!B:B)</f>
        <v>Strawberry</v>
      </c>
      <c r="H209" t="str">
        <f>_xlfn.XLOOKUP(D209,stores!A:A,stores!B:B)</f>
        <v>Ohrid</v>
      </c>
      <c r="I209" t="str">
        <f t="shared" si="6"/>
        <v>NORMAL</v>
      </c>
      <c r="J209" s="4" t="str">
        <f t="shared" si="7"/>
        <v>7</v>
      </c>
    </row>
    <row r="210" spans="1:10">
      <c r="A210" s="2">
        <v>209</v>
      </c>
      <c r="B210" s="3">
        <v>46218</v>
      </c>
      <c r="C210" s="2">
        <v>7</v>
      </c>
      <c r="D210" s="2">
        <v>1</v>
      </c>
      <c r="E210" s="2">
        <v>12.7</v>
      </c>
      <c r="F210" s="2">
        <v>1206</v>
      </c>
      <c r="G210" t="str">
        <f>_xlfn.XLOOKUP(C210,products!A:A,products!B:B)</f>
        <v>Peach</v>
      </c>
      <c r="H210" t="str">
        <f>_xlfn.XLOOKUP(D210,stores!A:A,stores!B:B)</f>
        <v>Bitola</v>
      </c>
      <c r="I210" t="str">
        <f t="shared" si="6"/>
        <v>NORMAL</v>
      </c>
      <c r="J210" s="4" t="str">
        <f t="shared" si="7"/>
        <v>7</v>
      </c>
    </row>
    <row r="211" spans="1:10">
      <c r="A211" s="2">
        <v>210</v>
      </c>
      <c r="B211" s="3">
        <v>46218</v>
      </c>
      <c r="C211" s="2">
        <v>7</v>
      </c>
      <c r="D211" s="2">
        <v>2</v>
      </c>
      <c r="E211" s="2">
        <v>43.1</v>
      </c>
      <c r="F211" s="2">
        <v>4094</v>
      </c>
      <c r="G211" t="str">
        <f>_xlfn.XLOOKUP(C211,products!A:A,products!B:B)</f>
        <v>Peach</v>
      </c>
      <c r="H211" t="str">
        <f>_xlfn.XLOOKUP(D211,stores!A:A,stores!B:B)</f>
        <v>Ohrid</v>
      </c>
      <c r="I211" t="str">
        <f t="shared" si="6"/>
        <v>NORMAL</v>
      </c>
      <c r="J211" s="4" t="str">
        <f t="shared" si="7"/>
        <v>7</v>
      </c>
    </row>
    <row r="212" spans="1:10">
      <c r="A212" s="2">
        <v>211</v>
      </c>
      <c r="B212" s="3">
        <v>46219</v>
      </c>
      <c r="C212" s="2">
        <v>1</v>
      </c>
      <c r="D212" s="2">
        <v>1</v>
      </c>
      <c r="E212" s="2">
        <v>17.4</v>
      </c>
      <c r="F212" s="2">
        <v>1044</v>
      </c>
      <c r="G212" t="str">
        <f>_xlfn.XLOOKUP(C212,products!A:A,products!B:B)</f>
        <v>Apple</v>
      </c>
      <c r="H212" t="str">
        <f>_xlfn.XLOOKUP(D212,stores!A:A,stores!B:B)</f>
        <v>Bitola</v>
      </c>
      <c r="I212" t="str">
        <f t="shared" si="6"/>
        <v>NORMAL</v>
      </c>
      <c r="J212" s="4" t="str">
        <f t="shared" si="7"/>
        <v>7</v>
      </c>
    </row>
    <row r="213" spans="1:10">
      <c r="A213" s="2">
        <v>212</v>
      </c>
      <c r="B213" s="3">
        <v>46219</v>
      </c>
      <c r="C213" s="2">
        <v>1</v>
      </c>
      <c r="D213" s="2">
        <v>2</v>
      </c>
      <c r="E213" s="2">
        <v>34</v>
      </c>
      <c r="F213" s="2">
        <v>2040</v>
      </c>
      <c r="G213" t="str">
        <f>_xlfn.XLOOKUP(C213,products!A:A,products!B:B)</f>
        <v>Apple</v>
      </c>
      <c r="H213" t="str">
        <f>_xlfn.XLOOKUP(D213,stores!A:A,stores!B:B)</f>
        <v>Ohrid</v>
      </c>
      <c r="I213" t="str">
        <f t="shared" si="6"/>
        <v>NORMAL</v>
      </c>
      <c r="J213" s="4" t="str">
        <f t="shared" si="7"/>
        <v>7</v>
      </c>
    </row>
    <row r="214" spans="1:10">
      <c r="A214" s="2">
        <v>213</v>
      </c>
      <c r="B214" s="3">
        <v>46219</v>
      </c>
      <c r="C214" s="2">
        <v>2</v>
      </c>
      <c r="D214" s="2">
        <v>1</v>
      </c>
      <c r="E214" s="2">
        <v>20</v>
      </c>
      <c r="F214" s="2">
        <v>1800</v>
      </c>
      <c r="G214" t="str">
        <f>_xlfn.XLOOKUP(C214,products!A:A,products!B:B)</f>
        <v>Banana</v>
      </c>
      <c r="H214" t="str">
        <f>_xlfn.XLOOKUP(D214,stores!A:A,stores!B:B)</f>
        <v>Bitola</v>
      </c>
      <c r="I214" t="str">
        <f t="shared" si="6"/>
        <v>NORMAL</v>
      </c>
      <c r="J214" s="4" t="str">
        <f t="shared" si="7"/>
        <v>7</v>
      </c>
    </row>
    <row r="215" spans="1:10">
      <c r="A215" s="2">
        <v>214</v>
      </c>
      <c r="B215" s="3">
        <v>46219</v>
      </c>
      <c r="C215" s="2">
        <v>2</v>
      </c>
      <c r="D215" s="2">
        <v>2</v>
      </c>
      <c r="E215" s="2">
        <v>37</v>
      </c>
      <c r="F215" s="2">
        <v>3330</v>
      </c>
      <c r="G215" t="str">
        <f>_xlfn.XLOOKUP(C215,products!A:A,products!B:B)</f>
        <v>Banana</v>
      </c>
      <c r="H215" t="str">
        <f>_xlfn.XLOOKUP(D215,stores!A:A,stores!B:B)</f>
        <v>Ohrid</v>
      </c>
      <c r="I215" t="str">
        <f t="shared" si="6"/>
        <v>NORMAL</v>
      </c>
      <c r="J215" s="4" t="str">
        <f t="shared" si="7"/>
        <v>7</v>
      </c>
    </row>
    <row r="216" spans="1:10">
      <c r="A216" s="2">
        <v>215</v>
      </c>
      <c r="B216" s="3">
        <v>46219</v>
      </c>
      <c r="C216" s="2">
        <v>3</v>
      </c>
      <c r="D216" s="2">
        <v>1</v>
      </c>
      <c r="E216" s="2">
        <v>16.3</v>
      </c>
      <c r="F216" s="2">
        <v>1304</v>
      </c>
      <c r="G216" t="str">
        <f>_xlfn.XLOOKUP(C216,products!A:A,products!B:B)</f>
        <v>Orange</v>
      </c>
      <c r="H216" t="str">
        <f>_xlfn.XLOOKUP(D216,stores!A:A,stores!B:B)</f>
        <v>Bitola</v>
      </c>
      <c r="I216" t="str">
        <f t="shared" si="6"/>
        <v>NORMAL</v>
      </c>
      <c r="J216" s="4" t="str">
        <f t="shared" si="7"/>
        <v>7</v>
      </c>
    </row>
    <row r="217" spans="1:10">
      <c r="A217" s="2">
        <v>216</v>
      </c>
      <c r="B217" s="3">
        <v>46219</v>
      </c>
      <c r="C217" s="2">
        <v>3</v>
      </c>
      <c r="D217" s="2">
        <v>2</v>
      </c>
      <c r="E217" s="2">
        <v>11.6</v>
      </c>
      <c r="F217" s="2">
        <v>928</v>
      </c>
      <c r="G217" t="str">
        <f>_xlfn.XLOOKUP(C217,products!A:A,products!B:B)</f>
        <v>Orange</v>
      </c>
      <c r="H217" t="str">
        <f>_xlfn.XLOOKUP(D217,stores!A:A,stores!B:B)</f>
        <v>Ohrid</v>
      </c>
      <c r="I217" t="str">
        <f t="shared" si="6"/>
        <v>NORMAL</v>
      </c>
      <c r="J217" s="4" t="str">
        <f t="shared" si="7"/>
        <v>7</v>
      </c>
    </row>
    <row r="218" spans="1:10">
      <c r="A218" s="2">
        <v>217</v>
      </c>
      <c r="B218" s="3">
        <v>46219</v>
      </c>
      <c r="C218" s="2">
        <v>4</v>
      </c>
      <c r="D218" s="2">
        <v>1</v>
      </c>
      <c r="E218" s="2">
        <v>49.1</v>
      </c>
      <c r="F218" s="2">
        <v>1228</v>
      </c>
      <c r="G218" t="str">
        <f>_xlfn.XLOOKUP(C218,products!A:A,products!B:B)</f>
        <v>Watermelon</v>
      </c>
      <c r="H218" t="str">
        <f>_xlfn.XLOOKUP(D218,stores!A:A,stores!B:B)</f>
        <v>Bitola</v>
      </c>
      <c r="I218" t="str">
        <f t="shared" si="6"/>
        <v>NORMAL</v>
      </c>
      <c r="J218" s="4" t="str">
        <f t="shared" si="7"/>
        <v>7</v>
      </c>
    </row>
    <row r="219" spans="1:10">
      <c r="A219" s="2">
        <v>218</v>
      </c>
      <c r="B219" s="3">
        <v>46219</v>
      </c>
      <c r="C219" s="2">
        <v>4</v>
      </c>
      <c r="D219" s="2">
        <v>2</v>
      </c>
      <c r="E219" s="2">
        <v>87.3</v>
      </c>
      <c r="F219" s="2">
        <v>2182</v>
      </c>
      <c r="G219" t="str">
        <f>_xlfn.XLOOKUP(C219,products!A:A,products!B:B)</f>
        <v>Watermelon</v>
      </c>
      <c r="H219" t="str">
        <f>_xlfn.XLOOKUP(D219,stores!A:A,stores!B:B)</f>
        <v>Ohrid</v>
      </c>
      <c r="I219" t="str">
        <f t="shared" si="6"/>
        <v>BIG</v>
      </c>
      <c r="J219" s="4" t="str">
        <f t="shared" si="7"/>
        <v>7</v>
      </c>
    </row>
    <row r="220" spans="1:10">
      <c r="A220" s="2">
        <v>219</v>
      </c>
      <c r="B220" s="3">
        <v>46219</v>
      </c>
      <c r="C220" s="2">
        <v>5</v>
      </c>
      <c r="D220" s="2">
        <v>1</v>
      </c>
      <c r="E220" s="2">
        <v>5.5</v>
      </c>
      <c r="F220" s="2">
        <v>605</v>
      </c>
      <c r="G220" t="str">
        <f>_xlfn.XLOOKUP(C220,products!A:A,products!B:B)</f>
        <v>Grapes</v>
      </c>
      <c r="H220" t="str">
        <f>_xlfn.XLOOKUP(D220,stores!A:A,stores!B:B)</f>
        <v>Bitola</v>
      </c>
      <c r="I220" t="str">
        <f t="shared" si="6"/>
        <v>NORMAL</v>
      </c>
      <c r="J220" s="4" t="str">
        <f t="shared" si="7"/>
        <v>7</v>
      </c>
    </row>
    <row r="221" spans="1:10">
      <c r="A221" s="2">
        <v>220</v>
      </c>
      <c r="B221" s="3">
        <v>46219</v>
      </c>
      <c r="C221" s="2">
        <v>5</v>
      </c>
      <c r="D221" s="2">
        <v>2</v>
      </c>
      <c r="E221" s="2">
        <v>8</v>
      </c>
      <c r="F221" s="2">
        <v>880</v>
      </c>
      <c r="G221" t="str">
        <f>_xlfn.XLOOKUP(C221,products!A:A,products!B:B)</f>
        <v>Grapes</v>
      </c>
      <c r="H221" t="str">
        <f>_xlfn.XLOOKUP(D221,stores!A:A,stores!B:B)</f>
        <v>Ohrid</v>
      </c>
      <c r="I221" t="str">
        <f t="shared" si="6"/>
        <v>NORMAL</v>
      </c>
      <c r="J221" s="4" t="str">
        <f t="shared" si="7"/>
        <v>7</v>
      </c>
    </row>
    <row r="222" spans="1:10">
      <c r="A222" s="2">
        <v>221</v>
      </c>
      <c r="B222" s="3">
        <v>46219</v>
      </c>
      <c r="C222" s="2">
        <v>6</v>
      </c>
      <c r="D222" s="2">
        <v>1</v>
      </c>
      <c r="E222" s="2">
        <v>10.1</v>
      </c>
      <c r="F222" s="2">
        <v>2222</v>
      </c>
      <c r="G222" t="str">
        <f>_xlfn.XLOOKUP(C222,products!A:A,products!B:B)</f>
        <v>Strawberry</v>
      </c>
      <c r="H222" t="str">
        <f>_xlfn.XLOOKUP(D222,stores!A:A,stores!B:B)</f>
        <v>Bitola</v>
      </c>
      <c r="I222" t="str">
        <f t="shared" si="6"/>
        <v>NORMAL</v>
      </c>
      <c r="J222" s="4" t="str">
        <f t="shared" si="7"/>
        <v>7</v>
      </c>
    </row>
    <row r="223" spans="1:10">
      <c r="A223" s="2">
        <v>222</v>
      </c>
      <c r="B223" s="3">
        <v>46219</v>
      </c>
      <c r="C223" s="2">
        <v>6</v>
      </c>
      <c r="D223" s="2">
        <v>2</v>
      </c>
      <c r="E223" s="2">
        <v>10.6</v>
      </c>
      <c r="F223" s="2">
        <v>2332</v>
      </c>
      <c r="G223" t="str">
        <f>_xlfn.XLOOKUP(C223,products!A:A,products!B:B)</f>
        <v>Strawberry</v>
      </c>
      <c r="H223" t="str">
        <f>_xlfn.XLOOKUP(D223,stores!A:A,stores!B:B)</f>
        <v>Ohrid</v>
      </c>
      <c r="I223" t="str">
        <f t="shared" si="6"/>
        <v>NORMAL</v>
      </c>
      <c r="J223" s="4" t="str">
        <f t="shared" si="7"/>
        <v>7</v>
      </c>
    </row>
    <row r="224" spans="1:10">
      <c r="A224" s="2">
        <v>223</v>
      </c>
      <c r="B224" s="3">
        <v>46219</v>
      </c>
      <c r="C224" s="2">
        <v>7</v>
      </c>
      <c r="D224" s="2">
        <v>1</v>
      </c>
      <c r="E224" s="2">
        <v>15</v>
      </c>
      <c r="F224" s="2">
        <v>1425</v>
      </c>
      <c r="G224" t="str">
        <f>_xlfn.XLOOKUP(C224,products!A:A,products!B:B)</f>
        <v>Peach</v>
      </c>
      <c r="H224" t="str">
        <f>_xlfn.XLOOKUP(D224,stores!A:A,stores!B:B)</f>
        <v>Bitola</v>
      </c>
      <c r="I224" t="str">
        <f t="shared" si="6"/>
        <v>NORMAL</v>
      </c>
      <c r="J224" s="4" t="str">
        <f t="shared" si="7"/>
        <v>7</v>
      </c>
    </row>
    <row r="225" spans="1:10">
      <c r="A225" s="2">
        <v>224</v>
      </c>
      <c r="B225" s="3">
        <v>46219</v>
      </c>
      <c r="C225" s="2">
        <v>7</v>
      </c>
      <c r="D225" s="2">
        <v>2</v>
      </c>
      <c r="E225" s="2">
        <v>28.1</v>
      </c>
      <c r="F225" s="2">
        <v>2670</v>
      </c>
      <c r="G225" t="str">
        <f>_xlfn.XLOOKUP(C225,products!A:A,products!B:B)</f>
        <v>Peach</v>
      </c>
      <c r="H225" t="str">
        <f>_xlfn.XLOOKUP(D225,stores!A:A,stores!B:B)</f>
        <v>Ohrid</v>
      </c>
      <c r="I225" t="str">
        <f t="shared" si="6"/>
        <v>NORMAL</v>
      </c>
      <c r="J225" s="4" t="str">
        <f t="shared" si="7"/>
        <v>7</v>
      </c>
    </row>
    <row r="226" spans="1:10">
      <c r="A226" s="2">
        <v>225</v>
      </c>
      <c r="B226" s="3">
        <v>46220</v>
      </c>
      <c r="C226" s="2">
        <v>1</v>
      </c>
      <c r="D226" s="2">
        <v>1</v>
      </c>
      <c r="E226" s="2">
        <v>22.5</v>
      </c>
      <c r="F226" s="2">
        <v>1350</v>
      </c>
      <c r="G226" t="str">
        <f>_xlfn.XLOOKUP(C226,products!A:A,products!B:B)</f>
        <v>Apple</v>
      </c>
      <c r="H226" t="str">
        <f>_xlfn.XLOOKUP(D226,stores!A:A,stores!B:B)</f>
        <v>Bitola</v>
      </c>
      <c r="I226" t="str">
        <f t="shared" si="6"/>
        <v>NORMAL</v>
      </c>
      <c r="J226" s="4" t="str">
        <f t="shared" si="7"/>
        <v>7</v>
      </c>
    </row>
    <row r="227" spans="1:10">
      <c r="A227" s="2">
        <v>226</v>
      </c>
      <c r="B227" s="3">
        <v>46220</v>
      </c>
      <c r="C227" s="2">
        <v>1</v>
      </c>
      <c r="D227" s="2">
        <v>2</v>
      </c>
      <c r="E227" s="2">
        <v>27.5</v>
      </c>
      <c r="F227" s="2">
        <v>1650</v>
      </c>
      <c r="G227" t="str">
        <f>_xlfn.XLOOKUP(C227,products!A:A,products!B:B)</f>
        <v>Apple</v>
      </c>
      <c r="H227" t="str">
        <f>_xlfn.XLOOKUP(D227,stores!A:A,stores!B:B)</f>
        <v>Ohrid</v>
      </c>
      <c r="I227" t="str">
        <f t="shared" si="6"/>
        <v>NORMAL</v>
      </c>
      <c r="J227" s="4" t="str">
        <f t="shared" si="7"/>
        <v>7</v>
      </c>
    </row>
    <row r="228" spans="1:10">
      <c r="A228" s="2">
        <v>227</v>
      </c>
      <c r="B228" s="3">
        <v>46220</v>
      </c>
      <c r="C228" s="2">
        <v>2</v>
      </c>
      <c r="D228" s="2">
        <v>1</v>
      </c>
      <c r="E228" s="2">
        <v>15.2</v>
      </c>
      <c r="F228" s="2">
        <v>1368</v>
      </c>
      <c r="G228" t="str">
        <f>_xlfn.XLOOKUP(C228,products!A:A,products!B:B)</f>
        <v>Banana</v>
      </c>
      <c r="H228" t="str">
        <f>_xlfn.XLOOKUP(D228,stores!A:A,stores!B:B)</f>
        <v>Bitola</v>
      </c>
      <c r="I228" t="str">
        <f t="shared" si="6"/>
        <v>NORMAL</v>
      </c>
      <c r="J228" s="4" t="str">
        <f t="shared" si="7"/>
        <v>7</v>
      </c>
    </row>
    <row r="229" spans="1:10">
      <c r="A229" s="2">
        <v>228</v>
      </c>
      <c r="B229" s="3">
        <v>46220</v>
      </c>
      <c r="C229" s="2">
        <v>2</v>
      </c>
      <c r="D229" s="2">
        <v>2</v>
      </c>
      <c r="E229" s="2">
        <v>34.8</v>
      </c>
      <c r="F229" s="2">
        <v>3132</v>
      </c>
      <c r="G229" t="str">
        <f>_xlfn.XLOOKUP(C229,products!A:A,products!B:B)</f>
        <v>Banana</v>
      </c>
      <c r="H229" t="str">
        <f>_xlfn.XLOOKUP(D229,stores!A:A,stores!B:B)</f>
        <v>Ohrid</v>
      </c>
      <c r="I229" t="str">
        <f t="shared" si="6"/>
        <v>NORMAL</v>
      </c>
      <c r="J229" s="4" t="str">
        <f t="shared" si="7"/>
        <v>7</v>
      </c>
    </row>
    <row r="230" spans="1:10">
      <c r="A230" s="2">
        <v>229</v>
      </c>
      <c r="B230" s="3">
        <v>46220</v>
      </c>
      <c r="C230" s="2">
        <v>3</v>
      </c>
      <c r="D230" s="2">
        <v>1</v>
      </c>
      <c r="E230" s="2">
        <v>12.8</v>
      </c>
      <c r="F230" s="2">
        <v>1024</v>
      </c>
      <c r="G230" t="str">
        <f>_xlfn.XLOOKUP(C230,products!A:A,products!B:B)</f>
        <v>Orange</v>
      </c>
      <c r="H230" t="str">
        <f>_xlfn.XLOOKUP(D230,stores!A:A,stores!B:B)</f>
        <v>Bitola</v>
      </c>
      <c r="I230" t="str">
        <f t="shared" si="6"/>
        <v>NORMAL</v>
      </c>
      <c r="J230" s="4" t="str">
        <f t="shared" si="7"/>
        <v>7</v>
      </c>
    </row>
    <row r="231" spans="1:10">
      <c r="A231" s="2">
        <v>230</v>
      </c>
      <c r="B231" s="3">
        <v>46220</v>
      </c>
      <c r="C231" s="2">
        <v>3</v>
      </c>
      <c r="D231" s="2">
        <v>2</v>
      </c>
      <c r="E231" s="2">
        <v>20</v>
      </c>
      <c r="F231" s="2">
        <v>1600</v>
      </c>
      <c r="G231" t="str">
        <f>_xlfn.XLOOKUP(C231,products!A:A,products!B:B)</f>
        <v>Orange</v>
      </c>
      <c r="H231" t="str">
        <f>_xlfn.XLOOKUP(D231,stores!A:A,stores!B:B)</f>
        <v>Ohrid</v>
      </c>
      <c r="I231" t="str">
        <f t="shared" si="6"/>
        <v>NORMAL</v>
      </c>
      <c r="J231" s="4" t="str">
        <f t="shared" si="7"/>
        <v>7</v>
      </c>
    </row>
    <row r="232" spans="1:10">
      <c r="A232" s="2">
        <v>231</v>
      </c>
      <c r="B232" s="3">
        <v>46220</v>
      </c>
      <c r="C232" s="2">
        <v>4</v>
      </c>
      <c r="D232" s="2">
        <v>1</v>
      </c>
      <c r="E232" s="2">
        <v>77.9</v>
      </c>
      <c r="F232" s="2">
        <v>1948</v>
      </c>
      <c r="G232" t="str">
        <f>_xlfn.XLOOKUP(C232,products!A:A,products!B:B)</f>
        <v>Watermelon</v>
      </c>
      <c r="H232" t="str">
        <f>_xlfn.XLOOKUP(D232,stores!A:A,stores!B:B)</f>
        <v>Bitola</v>
      </c>
      <c r="I232" t="str">
        <f t="shared" si="6"/>
        <v>BIG</v>
      </c>
      <c r="J232" s="4" t="str">
        <f t="shared" si="7"/>
        <v>7</v>
      </c>
    </row>
    <row r="233" spans="1:10">
      <c r="A233" s="2">
        <v>232</v>
      </c>
      <c r="B233" s="3">
        <v>46220</v>
      </c>
      <c r="C233" s="2">
        <v>4</v>
      </c>
      <c r="D233" s="2">
        <v>2</v>
      </c>
      <c r="E233" s="2">
        <v>104.1</v>
      </c>
      <c r="F233" s="2">
        <v>2602</v>
      </c>
      <c r="G233" t="str">
        <f>_xlfn.XLOOKUP(C233,products!A:A,products!B:B)</f>
        <v>Watermelon</v>
      </c>
      <c r="H233" t="str">
        <f>_xlfn.XLOOKUP(D233,stores!A:A,stores!B:B)</f>
        <v>Ohrid</v>
      </c>
      <c r="I233" t="str">
        <f t="shared" si="6"/>
        <v>BIG</v>
      </c>
      <c r="J233" s="4" t="str">
        <f t="shared" si="7"/>
        <v>7</v>
      </c>
    </row>
    <row r="234" spans="1:10">
      <c r="A234" s="2">
        <v>233</v>
      </c>
      <c r="B234" s="3">
        <v>46220</v>
      </c>
      <c r="C234" s="2">
        <v>5</v>
      </c>
      <c r="D234" s="2">
        <v>1</v>
      </c>
      <c r="E234" s="2">
        <v>3.8</v>
      </c>
      <c r="F234" s="2">
        <v>418</v>
      </c>
      <c r="G234" t="str">
        <f>_xlfn.XLOOKUP(C234,products!A:A,products!B:B)</f>
        <v>Grapes</v>
      </c>
      <c r="H234" t="str">
        <f>_xlfn.XLOOKUP(D234,stores!A:A,stores!B:B)</f>
        <v>Bitola</v>
      </c>
      <c r="I234" t="str">
        <f t="shared" si="6"/>
        <v>NORMAL</v>
      </c>
      <c r="J234" s="4" t="str">
        <f t="shared" si="7"/>
        <v>7</v>
      </c>
    </row>
    <row r="235" spans="1:10">
      <c r="A235" s="2">
        <v>234</v>
      </c>
      <c r="B235" s="3">
        <v>46220</v>
      </c>
      <c r="C235" s="2">
        <v>5</v>
      </c>
      <c r="D235" s="2">
        <v>2</v>
      </c>
      <c r="E235" s="2">
        <v>5.8</v>
      </c>
      <c r="F235" s="2">
        <v>638</v>
      </c>
      <c r="G235" t="str">
        <f>_xlfn.XLOOKUP(C235,products!A:A,products!B:B)</f>
        <v>Grapes</v>
      </c>
      <c r="H235" t="str">
        <f>_xlfn.XLOOKUP(D235,stores!A:A,stores!B:B)</f>
        <v>Ohrid</v>
      </c>
      <c r="I235" t="str">
        <f t="shared" si="6"/>
        <v>NORMAL</v>
      </c>
      <c r="J235" s="4" t="str">
        <f t="shared" si="7"/>
        <v>7</v>
      </c>
    </row>
    <row r="236" spans="1:10">
      <c r="A236" s="2">
        <v>235</v>
      </c>
      <c r="B236" s="3">
        <v>46220</v>
      </c>
      <c r="C236" s="2">
        <v>6</v>
      </c>
      <c r="D236" s="2">
        <v>1</v>
      </c>
      <c r="E236" s="2">
        <v>8.1</v>
      </c>
      <c r="F236" s="2">
        <v>1782</v>
      </c>
      <c r="G236" t="str">
        <f>_xlfn.XLOOKUP(C236,products!A:A,products!B:B)</f>
        <v>Strawberry</v>
      </c>
      <c r="H236" t="str">
        <f>_xlfn.XLOOKUP(D236,stores!A:A,stores!B:B)</f>
        <v>Bitola</v>
      </c>
      <c r="I236" t="str">
        <f t="shared" si="6"/>
        <v>NORMAL</v>
      </c>
      <c r="J236" s="4" t="str">
        <f t="shared" si="7"/>
        <v>7</v>
      </c>
    </row>
    <row r="237" spans="1:10">
      <c r="A237" s="2">
        <v>236</v>
      </c>
      <c r="B237" s="3">
        <v>46220</v>
      </c>
      <c r="C237" s="2">
        <v>6</v>
      </c>
      <c r="D237" s="2">
        <v>2</v>
      </c>
      <c r="E237" s="2">
        <v>12.3</v>
      </c>
      <c r="F237" s="2">
        <v>2706</v>
      </c>
      <c r="G237" t="str">
        <f>_xlfn.XLOOKUP(C237,products!A:A,products!B:B)</f>
        <v>Strawberry</v>
      </c>
      <c r="H237" t="str">
        <f>_xlfn.XLOOKUP(D237,stores!A:A,stores!B:B)</f>
        <v>Ohrid</v>
      </c>
      <c r="I237" t="str">
        <f t="shared" si="6"/>
        <v>NORMAL</v>
      </c>
      <c r="J237" s="4" t="str">
        <f t="shared" si="7"/>
        <v>7</v>
      </c>
    </row>
    <row r="238" spans="1:10">
      <c r="A238" s="2">
        <v>237</v>
      </c>
      <c r="B238" s="3">
        <v>46220</v>
      </c>
      <c r="C238" s="2">
        <v>7</v>
      </c>
      <c r="D238" s="2">
        <v>1</v>
      </c>
      <c r="E238" s="2">
        <v>24.6</v>
      </c>
      <c r="F238" s="2">
        <v>2337</v>
      </c>
      <c r="G238" t="str">
        <f>_xlfn.XLOOKUP(C238,products!A:A,products!B:B)</f>
        <v>Peach</v>
      </c>
      <c r="H238" t="str">
        <f>_xlfn.XLOOKUP(D238,stores!A:A,stores!B:B)</f>
        <v>Bitola</v>
      </c>
      <c r="I238" t="str">
        <f t="shared" si="6"/>
        <v>NORMAL</v>
      </c>
      <c r="J238" s="4" t="str">
        <f t="shared" si="7"/>
        <v>7</v>
      </c>
    </row>
    <row r="239" spans="1:10">
      <c r="A239" s="2">
        <v>238</v>
      </c>
      <c r="B239" s="3">
        <v>46220</v>
      </c>
      <c r="C239" s="2">
        <v>7</v>
      </c>
      <c r="D239" s="2">
        <v>2</v>
      </c>
      <c r="E239" s="2">
        <v>27.9</v>
      </c>
      <c r="F239" s="2">
        <v>2650</v>
      </c>
      <c r="G239" t="str">
        <f>_xlfn.XLOOKUP(C239,products!A:A,products!B:B)</f>
        <v>Peach</v>
      </c>
      <c r="H239" t="str">
        <f>_xlfn.XLOOKUP(D239,stores!A:A,stores!B:B)</f>
        <v>Ohrid</v>
      </c>
      <c r="I239" t="str">
        <f t="shared" si="6"/>
        <v>NORMAL</v>
      </c>
      <c r="J239" s="4" t="str">
        <f t="shared" si="7"/>
        <v>7</v>
      </c>
    </row>
    <row r="240" spans="1:10">
      <c r="A240" s="2">
        <v>239</v>
      </c>
      <c r="B240" s="3">
        <v>46221</v>
      </c>
      <c r="C240" s="2">
        <v>1</v>
      </c>
      <c r="D240" s="2">
        <v>1</v>
      </c>
      <c r="E240" s="2">
        <v>17.3</v>
      </c>
      <c r="F240" s="2">
        <v>1038</v>
      </c>
      <c r="G240" t="str">
        <f>_xlfn.XLOOKUP(C240,products!A:A,products!B:B)</f>
        <v>Apple</v>
      </c>
      <c r="H240" t="str">
        <f>_xlfn.XLOOKUP(D240,stores!A:A,stores!B:B)</f>
        <v>Bitola</v>
      </c>
      <c r="I240" t="str">
        <f t="shared" si="6"/>
        <v>NORMAL</v>
      </c>
      <c r="J240" s="4" t="str">
        <f t="shared" si="7"/>
        <v>7</v>
      </c>
    </row>
    <row r="241" spans="1:10">
      <c r="A241" s="2">
        <v>240</v>
      </c>
      <c r="B241" s="3">
        <v>46221</v>
      </c>
      <c r="C241" s="2">
        <v>1</v>
      </c>
      <c r="D241" s="2">
        <v>2</v>
      </c>
      <c r="E241" s="2">
        <v>26.6</v>
      </c>
      <c r="F241" s="2">
        <v>1596</v>
      </c>
      <c r="G241" t="str">
        <f>_xlfn.XLOOKUP(C241,products!A:A,products!B:B)</f>
        <v>Apple</v>
      </c>
      <c r="H241" t="str">
        <f>_xlfn.XLOOKUP(D241,stores!A:A,stores!B:B)</f>
        <v>Ohrid</v>
      </c>
      <c r="I241" t="str">
        <f t="shared" si="6"/>
        <v>NORMAL</v>
      </c>
      <c r="J241" s="4" t="str">
        <f t="shared" si="7"/>
        <v>7</v>
      </c>
    </row>
    <row r="242" spans="1:10">
      <c r="A242" s="2">
        <v>241</v>
      </c>
      <c r="B242" s="3">
        <v>46221</v>
      </c>
      <c r="C242" s="2">
        <v>2</v>
      </c>
      <c r="D242" s="2">
        <v>1</v>
      </c>
      <c r="E242" s="2">
        <v>24</v>
      </c>
      <c r="F242" s="2">
        <v>2160</v>
      </c>
      <c r="G242" t="str">
        <f>_xlfn.XLOOKUP(C242,products!A:A,products!B:B)</f>
        <v>Banana</v>
      </c>
      <c r="H242" t="str">
        <f>_xlfn.XLOOKUP(D242,stores!A:A,stores!B:B)</f>
        <v>Bitola</v>
      </c>
      <c r="I242" t="str">
        <f t="shared" si="6"/>
        <v>NORMAL</v>
      </c>
      <c r="J242" s="4" t="str">
        <f t="shared" si="7"/>
        <v>7</v>
      </c>
    </row>
    <row r="243" spans="1:10">
      <c r="A243" s="2">
        <v>242</v>
      </c>
      <c r="B243" s="3">
        <v>46221</v>
      </c>
      <c r="C243" s="2">
        <v>2</v>
      </c>
      <c r="D243" s="2">
        <v>2</v>
      </c>
      <c r="E243" s="2">
        <v>49.4</v>
      </c>
      <c r="F243" s="2">
        <v>4446</v>
      </c>
      <c r="G243" t="str">
        <f>_xlfn.XLOOKUP(C243,products!A:A,products!B:B)</f>
        <v>Banana</v>
      </c>
      <c r="H243" t="str">
        <f>_xlfn.XLOOKUP(D243,stores!A:A,stores!B:B)</f>
        <v>Ohrid</v>
      </c>
      <c r="I243" t="str">
        <f t="shared" si="6"/>
        <v>NORMAL</v>
      </c>
      <c r="J243" s="4" t="str">
        <f t="shared" si="7"/>
        <v>7</v>
      </c>
    </row>
    <row r="244" spans="1:10">
      <c r="A244" s="2">
        <v>243</v>
      </c>
      <c r="B244" s="3">
        <v>46221</v>
      </c>
      <c r="C244" s="2">
        <v>3</v>
      </c>
      <c r="D244" s="2">
        <v>1</v>
      </c>
      <c r="E244" s="2">
        <v>6.7</v>
      </c>
      <c r="F244" s="2">
        <v>536</v>
      </c>
      <c r="G244" t="str">
        <f>_xlfn.XLOOKUP(C244,products!A:A,products!B:B)</f>
        <v>Orange</v>
      </c>
      <c r="H244" t="str">
        <f>_xlfn.XLOOKUP(D244,stores!A:A,stores!B:B)</f>
        <v>Bitola</v>
      </c>
      <c r="I244" t="str">
        <f t="shared" si="6"/>
        <v>NORMAL</v>
      </c>
      <c r="J244" s="4" t="str">
        <f t="shared" si="7"/>
        <v>7</v>
      </c>
    </row>
    <row r="245" spans="1:10">
      <c r="A245" s="2">
        <v>244</v>
      </c>
      <c r="B245" s="3">
        <v>46221</v>
      </c>
      <c r="C245" s="2">
        <v>3</v>
      </c>
      <c r="D245" s="2">
        <v>2</v>
      </c>
      <c r="E245" s="2">
        <v>16.3</v>
      </c>
      <c r="F245" s="2">
        <v>1304</v>
      </c>
      <c r="G245" t="str">
        <f>_xlfn.XLOOKUP(C245,products!A:A,products!B:B)</f>
        <v>Orange</v>
      </c>
      <c r="H245" t="str">
        <f>_xlfn.XLOOKUP(D245,stores!A:A,stores!B:B)</f>
        <v>Ohrid</v>
      </c>
      <c r="I245" t="str">
        <f t="shared" si="6"/>
        <v>NORMAL</v>
      </c>
      <c r="J245" s="4" t="str">
        <f t="shared" si="7"/>
        <v>7</v>
      </c>
    </row>
    <row r="246" spans="1:10">
      <c r="A246" s="2">
        <v>245</v>
      </c>
      <c r="B246" s="3">
        <v>46221</v>
      </c>
      <c r="C246" s="2">
        <v>4</v>
      </c>
      <c r="D246" s="2">
        <v>1</v>
      </c>
      <c r="E246" s="2">
        <v>95.4</v>
      </c>
      <c r="F246" s="2">
        <v>2385</v>
      </c>
      <c r="G246" t="str">
        <f>_xlfn.XLOOKUP(C246,products!A:A,products!B:B)</f>
        <v>Watermelon</v>
      </c>
      <c r="H246" t="str">
        <f>_xlfn.XLOOKUP(D246,stores!A:A,stores!B:B)</f>
        <v>Bitola</v>
      </c>
      <c r="I246" t="str">
        <f t="shared" si="6"/>
        <v>BIG</v>
      </c>
      <c r="J246" s="4" t="str">
        <f t="shared" si="7"/>
        <v>7</v>
      </c>
    </row>
    <row r="247" spans="1:10">
      <c r="A247" s="2">
        <v>246</v>
      </c>
      <c r="B247" s="3">
        <v>46221</v>
      </c>
      <c r="C247" s="2">
        <v>4</v>
      </c>
      <c r="D247" s="2">
        <v>2</v>
      </c>
      <c r="E247" s="2">
        <v>159.8</v>
      </c>
      <c r="F247" s="2">
        <v>3995</v>
      </c>
      <c r="G247" t="str">
        <f>_xlfn.XLOOKUP(C247,products!A:A,products!B:B)</f>
        <v>Watermelon</v>
      </c>
      <c r="H247" t="str">
        <f>_xlfn.XLOOKUP(D247,stores!A:A,stores!B:B)</f>
        <v>Ohrid</v>
      </c>
      <c r="I247" t="str">
        <f t="shared" si="6"/>
        <v>BIG</v>
      </c>
      <c r="J247" s="4" t="str">
        <f t="shared" si="7"/>
        <v>7</v>
      </c>
    </row>
    <row r="248" spans="1:10">
      <c r="A248" s="2">
        <v>247</v>
      </c>
      <c r="B248" s="3">
        <v>46221</v>
      </c>
      <c r="C248" s="2">
        <v>5</v>
      </c>
      <c r="D248" s="2">
        <v>1</v>
      </c>
      <c r="E248" s="2">
        <v>6.3</v>
      </c>
      <c r="F248" s="2">
        <v>693</v>
      </c>
      <c r="G248" t="str">
        <f>_xlfn.XLOOKUP(C248,products!A:A,products!B:B)</f>
        <v>Grapes</v>
      </c>
      <c r="H248" t="str">
        <f>_xlfn.XLOOKUP(D248,stores!A:A,stores!B:B)</f>
        <v>Bitola</v>
      </c>
      <c r="I248" t="str">
        <f t="shared" si="6"/>
        <v>NORMAL</v>
      </c>
      <c r="J248" s="4" t="str">
        <f t="shared" si="7"/>
        <v>7</v>
      </c>
    </row>
    <row r="249" spans="1:10">
      <c r="A249" s="2">
        <v>248</v>
      </c>
      <c r="B249" s="3">
        <v>46221</v>
      </c>
      <c r="C249" s="2">
        <v>5</v>
      </c>
      <c r="D249" s="2">
        <v>2</v>
      </c>
      <c r="E249" s="2">
        <v>10.5</v>
      </c>
      <c r="F249" s="2">
        <v>1155</v>
      </c>
      <c r="G249" t="str">
        <f>_xlfn.XLOOKUP(C249,products!A:A,products!B:B)</f>
        <v>Grapes</v>
      </c>
      <c r="H249" t="str">
        <f>_xlfn.XLOOKUP(D249,stores!A:A,stores!B:B)</f>
        <v>Ohrid</v>
      </c>
      <c r="I249" t="str">
        <f t="shared" si="6"/>
        <v>NORMAL</v>
      </c>
      <c r="J249" s="4" t="str">
        <f t="shared" si="7"/>
        <v>7</v>
      </c>
    </row>
    <row r="250" spans="1:10">
      <c r="A250" s="2">
        <v>249</v>
      </c>
      <c r="B250" s="3">
        <v>46221</v>
      </c>
      <c r="C250" s="2">
        <v>6</v>
      </c>
      <c r="D250" s="2">
        <v>1</v>
      </c>
      <c r="E250" s="2">
        <v>9.2</v>
      </c>
      <c r="F250" s="2">
        <v>2024</v>
      </c>
      <c r="G250" t="str">
        <f>_xlfn.XLOOKUP(C250,products!A:A,products!B:B)</f>
        <v>Strawberry</v>
      </c>
      <c r="H250" t="str">
        <f>_xlfn.XLOOKUP(D250,stores!A:A,stores!B:B)</f>
        <v>Bitola</v>
      </c>
      <c r="I250" t="str">
        <f t="shared" si="6"/>
        <v>NORMAL</v>
      </c>
      <c r="J250" s="4" t="str">
        <f t="shared" si="7"/>
        <v>7</v>
      </c>
    </row>
    <row r="251" spans="1:10">
      <c r="A251" s="2">
        <v>250</v>
      </c>
      <c r="B251" s="3">
        <v>46221</v>
      </c>
      <c r="C251" s="2">
        <v>6</v>
      </c>
      <c r="D251" s="2">
        <v>2</v>
      </c>
      <c r="E251" s="2">
        <v>11.9</v>
      </c>
      <c r="F251" s="2">
        <v>2618</v>
      </c>
      <c r="G251" t="str">
        <f>_xlfn.XLOOKUP(C251,products!A:A,products!B:B)</f>
        <v>Strawberry</v>
      </c>
      <c r="H251" t="str">
        <f>_xlfn.XLOOKUP(D251,stores!A:A,stores!B:B)</f>
        <v>Ohrid</v>
      </c>
      <c r="I251" t="str">
        <f t="shared" si="6"/>
        <v>NORMAL</v>
      </c>
      <c r="J251" s="4" t="str">
        <f t="shared" si="7"/>
        <v>7</v>
      </c>
    </row>
    <row r="252" spans="1:10">
      <c r="A252" s="2">
        <v>251</v>
      </c>
      <c r="B252" s="3">
        <v>46221</v>
      </c>
      <c r="C252" s="2">
        <v>7</v>
      </c>
      <c r="D252" s="2">
        <v>1</v>
      </c>
      <c r="E252" s="2">
        <v>23.8</v>
      </c>
      <c r="F252" s="2">
        <v>2261</v>
      </c>
      <c r="G252" t="str">
        <f>_xlfn.XLOOKUP(C252,products!A:A,products!B:B)</f>
        <v>Peach</v>
      </c>
      <c r="H252" t="str">
        <f>_xlfn.XLOOKUP(D252,stores!A:A,stores!B:B)</f>
        <v>Bitola</v>
      </c>
      <c r="I252" t="str">
        <f t="shared" si="6"/>
        <v>NORMAL</v>
      </c>
      <c r="J252" s="4" t="str">
        <f t="shared" si="7"/>
        <v>7</v>
      </c>
    </row>
    <row r="253" spans="1:10">
      <c r="A253" s="2">
        <v>252</v>
      </c>
      <c r="B253" s="3">
        <v>46221</v>
      </c>
      <c r="C253" s="2">
        <v>7</v>
      </c>
      <c r="D253" s="2">
        <v>2</v>
      </c>
      <c r="E253" s="2">
        <v>50.3</v>
      </c>
      <c r="F253" s="2">
        <v>4778</v>
      </c>
      <c r="G253" t="str">
        <f>_xlfn.XLOOKUP(C253,products!A:A,products!B:B)</f>
        <v>Peach</v>
      </c>
      <c r="H253" t="str">
        <f>_xlfn.XLOOKUP(D253,stores!A:A,stores!B:B)</f>
        <v>Ohrid</v>
      </c>
      <c r="I253" t="str">
        <f t="shared" si="6"/>
        <v>BIG</v>
      </c>
      <c r="J253" s="4" t="str">
        <f t="shared" si="7"/>
        <v>7</v>
      </c>
    </row>
    <row r="254" spans="1:10">
      <c r="A254" s="2">
        <v>253</v>
      </c>
      <c r="B254" s="3">
        <v>46222</v>
      </c>
      <c r="C254" s="2">
        <v>1</v>
      </c>
      <c r="D254" s="2">
        <v>1</v>
      </c>
      <c r="E254" s="2">
        <v>27</v>
      </c>
      <c r="F254" s="2">
        <v>1620</v>
      </c>
      <c r="G254" t="str">
        <f>_xlfn.XLOOKUP(C254,products!A:A,products!B:B)</f>
        <v>Apple</v>
      </c>
      <c r="H254" t="str">
        <f>_xlfn.XLOOKUP(D254,stores!A:A,stores!B:B)</f>
        <v>Bitola</v>
      </c>
      <c r="I254" t="str">
        <f t="shared" si="6"/>
        <v>NORMAL</v>
      </c>
      <c r="J254" s="4" t="str">
        <f t="shared" si="7"/>
        <v>7</v>
      </c>
    </row>
    <row r="255" spans="1:10">
      <c r="A255" s="2">
        <v>254</v>
      </c>
      <c r="B255" s="3">
        <v>46222</v>
      </c>
      <c r="C255" s="2">
        <v>1</v>
      </c>
      <c r="D255" s="2">
        <v>2</v>
      </c>
      <c r="E255" s="2">
        <v>34.6</v>
      </c>
      <c r="F255" s="2">
        <v>2076</v>
      </c>
      <c r="G255" t="str">
        <f>_xlfn.XLOOKUP(C255,products!A:A,products!B:B)</f>
        <v>Apple</v>
      </c>
      <c r="H255" t="str">
        <f>_xlfn.XLOOKUP(D255,stores!A:A,stores!B:B)</f>
        <v>Ohrid</v>
      </c>
      <c r="I255" t="str">
        <f t="shared" si="6"/>
        <v>NORMAL</v>
      </c>
      <c r="J255" s="4" t="str">
        <f t="shared" si="7"/>
        <v>7</v>
      </c>
    </row>
    <row r="256" spans="1:10">
      <c r="A256" s="2">
        <v>255</v>
      </c>
      <c r="B256" s="3">
        <v>46222</v>
      </c>
      <c r="C256" s="2">
        <v>2</v>
      </c>
      <c r="D256" s="2">
        <v>1</v>
      </c>
      <c r="E256" s="2">
        <v>52.1</v>
      </c>
      <c r="F256" s="2">
        <v>4689</v>
      </c>
      <c r="G256" t="str">
        <f>_xlfn.XLOOKUP(C256,products!A:A,products!B:B)</f>
        <v>Banana</v>
      </c>
      <c r="H256" t="str">
        <f>_xlfn.XLOOKUP(D256,stores!A:A,stores!B:B)</f>
        <v>Bitola</v>
      </c>
      <c r="I256" t="str">
        <f t="shared" si="6"/>
        <v>BIG</v>
      </c>
      <c r="J256" s="4" t="str">
        <f t="shared" si="7"/>
        <v>7</v>
      </c>
    </row>
    <row r="257" spans="1:10">
      <c r="A257" s="2">
        <v>256</v>
      </c>
      <c r="B257" s="3">
        <v>46222</v>
      </c>
      <c r="C257" s="2">
        <v>2</v>
      </c>
      <c r="D257" s="2">
        <v>2</v>
      </c>
      <c r="E257" s="2">
        <v>43.5</v>
      </c>
      <c r="F257" s="2">
        <v>3915</v>
      </c>
      <c r="G257" t="str">
        <f>_xlfn.XLOOKUP(C257,products!A:A,products!B:B)</f>
        <v>Banana</v>
      </c>
      <c r="H257" t="str">
        <f>_xlfn.XLOOKUP(D257,stores!A:A,stores!B:B)</f>
        <v>Ohrid</v>
      </c>
      <c r="I257" t="str">
        <f t="shared" si="6"/>
        <v>NORMAL</v>
      </c>
      <c r="J257" s="4" t="str">
        <f t="shared" si="7"/>
        <v>7</v>
      </c>
    </row>
    <row r="258" spans="1:10">
      <c r="A258" s="2">
        <v>257</v>
      </c>
      <c r="B258" s="3">
        <v>46222</v>
      </c>
      <c r="C258" s="2">
        <v>3</v>
      </c>
      <c r="D258" s="2">
        <v>1</v>
      </c>
      <c r="E258" s="2">
        <v>14.1</v>
      </c>
      <c r="F258" s="2">
        <v>1128</v>
      </c>
      <c r="G258" t="str">
        <f>_xlfn.XLOOKUP(C258,products!A:A,products!B:B)</f>
        <v>Orange</v>
      </c>
      <c r="H258" t="str">
        <f>_xlfn.XLOOKUP(D258,stores!A:A,stores!B:B)</f>
        <v>Bitola</v>
      </c>
      <c r="I258" t="str">
        <f t="shared" ref="I258:I321" si="8">IF(E258&gt;50,"BIG","NORMAL")</f>
        <v>NORMAL</v>
      </c>
      <c r="J258" s="4" t="str">
        <f t="shared" ref="J258:J321" si="9">TEXT(B258,"m")</f>
        <v>7</v>
      </c>
    </row>
    <row r="259" spans="1:10">
      <c r="A259" s="2">
        <v>258</v>
      </c>
      <c r="B259" s="3">
        <v>46222</v>
      </c>
      <c r="C259" s="2">
        <v>3</v>
      </c>
      <c r="D259" s="2">
        <v>2</v>
      </c>
      <c r="E259" s="2">
        <v>18.6</v>
      </c>
      <c r="F259" s="2">
        <v>1488</v>
      </c>
      <c r="G259" t="str">
        <f>_xlfn.XLOOKUP(C259,products!A:A,products!B:B)</f>
        <v>Orange</v>
      </c>
      <c r="H259" t="str">
        <f>_xlfn.XLOOKUP(D259,stores!A:A,stores!B:B)</f>
        <v>Ohrid</v>
      </c>
      <c r="I259" t="str">
        <f t="shared" si="8"/>
        <v>NORMAL</v>
      </c>
      <c r="J259" s="4" t="str">
        <f t="shared" si="9"/>
        <v>7</v>
      </c>
    </row>
    <row r="260" spans="1:10">
      <c r="A260" s="2">
        <v>259</v>
      </c>
      <c r="B260" s="3">
        <v>46222</v>
      </c>
      <c r="C260" s="2">
        <v>4</v>
      </c>
      <c r="D260" s="2">
        <v>1</v>
      </c>
      <c r="E260" s="2">
        <v>83.6</v>
      </c>
      <c r="F260" s="2">
        <v>2090</v>
      </c>
      <c r="G260" t="str">
        <f>_xlfn.XLOOKUP(C260,products!A:A,products!B:B)</f>
        <v>Watermelon</v>
      </c>
      <c r="H260" t="str">
        <f>_xlfn.XLOOKUP(D260,stores!A:A,stores!B:B)</f>
        <v>Bitola</v>
      </c>
      <c r="I260" t="str">
        <f t="shared" si="8"/>
        <v>BIG</v>
      </c>
      <c r="J260" s="4" t="str">
        <f t="shared" si="9"/>
        <v>7</v>
      </c>
    </row>
    <row r="261" spans="1:10">
      <c r="A261" s="2">
        <v>260</v>
      </c>
      <c r="B261" s="3">
        <v>46222</v>
      </c>
      <c r="C261" s="2">
        <v>4</v>
      </c>
      <c r="D261" s="2">
        <v>2</v>
      </c>
      <c r="E261" s="2">
        <v>179.2</v>
      </c>
      <c r="F261" s="2">
        <v>4480</v>
      </c>
      <c r="G261" t="str">
        <f>_xlfn.XLOOKUP(C261,products!A:A,products!B:B)</f>
        <v>Watermelon</v>
      </c>
      <c r="H261" t="str">
        <f>_xlfn.XLOOKUP(D261,stores!A:A,stores!B:B)</f>
        <v>Ohrid</v>
      </c>
      <c r="I261" t="str">
        <f t="shared" si="8"/>
        <v>BIG</v>
      </c>
      <c r="J261" s="4" t="str">
        <f t="shared" si="9"/>
        <v>7</v>
      </c>
    </row>
    <row r="262" spans="1:10">
      <c r="A262" s="2">
        <v>261</v>
      </c>
      <c r="B262" s="3">
        <v>46222</v>
      </c>
      <c r="C262" s="2">
        <v>5</v>
      </c>
      <c r="D262" s="2">
        <v>1</v>
      </c>
      <c r="E262" s="2">
        <v>8.1</v>
      </c>
      <c r="F262" s="2">
        <v>891</v>
      </c>
      <c r="G262" t="str">
        <f>_xlfn.XLOOKUP(C262,products!A:A,products!B:B)</f>
        <v>Grapes</v>
      </c>
      <c r="H262" t="str">
        <f>_xlfn.XLOOKUP(D262,stores!A:A,stores!B:B)</f>
        <v>Bitola</v>
      </c>
      <c r="I262" t="str">
        <f t="shared" si="8"/>
        <v>NORMAL</v>
      </c>
      <c r="J262" s="4" t="str">
        <f t="shared" si="9"/>
        <v>7</v>
      </c>
    </row>
    <row r="263" spans="1:10">
      <c r="A263" s="2">
        <v>262</v>
      </c>
      <c r="B263" s="3">
        <v>46222</v>
      </c>
      <c r="C263" s="2">
        <v>5</v>
      </c>
      <c r="D263" s="2">
        <v>2</v>
      </c>
      <c r="E263" s="2">
        <v>6.3</v>
      </c>
      <c r="F263" s="2">
        <v>693</v>
      </c>
      <c r="G263" t="str">
        <f>_xlfn.XLOOKUP(C263,products!A:A,products!B:B)</f>
        <v>Grapes</v>
      </c>
      <c r="H263" t="str">
        <f>_xlfn.XLOOKUP(D263,stores!A:A,stores!B:B)</f>
        <v>Ohrid</v>
      </c>
      <c r="I263" t="str">
        <f t="shared" si="8"/>
        <v>NORMAL</v>
      </c>
      <c r="J263" s="4" t="str">
        <f t="shared" si="9"/>
        <v>7</v>
      </c>
    </row>
    <row r="264" spans="1:10">
      <c r="A264" s="2">
        <v>263</v>
      </c>
      <c r="B264" s="3">
        <v>46222</v>
      </c>
      <c r="C264" s="2">
        <v>6</v>
      </c>
      <c r="D264" s="2">
        <v>1</v>
      </c>
      <c r="E264" s="2">
        <v>9.2</v>
      </c>
      <c r="F264" s="2">
        <v>2024</v>
      </c>
      <c r="G264" t="str">
        <f>_xlfn.XLOOKUP(C264,products!A:A,products!B:B)</f>
        <v>Strawberry</v>
      </c>
      <c r="H264" t="str">
        <f>_xlfn.XLOOKUP(D264,stores!A:A,stores!B:B)</f>
        <v>Bitola</v>
      </c>
      <c r="I264" t="str">
        <f t="shared" si="8"/>
        <v>NORMAL</v>
      </c>
      <c r="J264" s="4" t="str">
        <f t="shared" si="9"/>
        <v>7</v>
      </c>
    </row>
    <row r="265" spans="1:10">
      <c r="A265" s="2">
        <v>264</v>
      </c>
      <c r="B265" s="3">
        <v>46222</v>
      </c>
      <c r="C265" s="2">
        <v>6</v>
      </c>
      <c r="D265" s="2">
        <v>2</v>
      </c>
      <c r="E265" s="2">
        <v>15.2</v>
      </c>
      <c r="F265" s="2">
        <v>3344</v>
      </c>
      <c r="G265" t="str">
        <f>_xlfn.XLOOKUP(C265,products!A:A,products!B:B)</f>
        <v>Strawberry</v>
      </c>
      <c r="H265" t="str">
        <f>_xlfn.XLOOKUP(D265,stores!A:A,stores!B:B)</f>
        <v>Ohrid</v>
      </c>
      <c r="I265" t="str">
        <f t="shared" si="8"/>
        <v>NORMAL</v>
      </c>
      <c r="J265" s="4" t="str">
        <f t="shared" si="9"/>
        <v>7</v>
      </c>
    </row>
    <row r="266" spans="1:10">
      <c r="A266" s="2">
        <v>265</v>
      </c>
      <c r="B266" s="3">
        <v>46222</v>
      </c>
      <c r="C266" s="2">
        <v>7</v>
      </c>
      <c r="D266" s="2">
        <v>1</v>
      </c>
      <c r="E266" s="2">
        <v>31.8</v>
      </c>
      <c r="F266" s="2">
        <v>3021</v>
      </c>
      <c r="G266" t="str">
        <f>_xlfn.XLOOKUP(C266,products!A:A,products!B:B)</f>
        <v>Peach</v>
      </c>
      <c r="H266" t="str">
        <f>_xlfn.XLOOKUP(D266,stores!A:A,stores!B:B)</f>
        <v>Bitola</v>
      </c>
      <c r="I266" t="str">
        <f t="shared" si="8"/>
        <v>NORMAL</v>
      </c>
      <c r="J266" s="4" t="str">
        <f t="shared" si="9"/>
        <v>7</v>
      </c>
    </row>
    <row r="267" spans="1:10">
      <c r="A267" s="2">
        <v>266</v>
      </c>
      <c r="B267" s="3">
        <v>46222</v>
      </c>
      <c r="C267" s="2">
        <v>7</v>
      </c>
      <c r="D267" s="2">
        <v>2</v>
      </c>
      <c r="E267" s="2">
        <v>28.1</v>
      </c>
      <c r="F267" s="2">
        <v>2670</v>
      </c>
      <c r="G267" t="str">
        <f>_xlfn.XLOOKUP(C267,products!A:A,products!B:B)</f>
        <v>Peach</v>
      </c>
      <c r="H267" t="str">
        <f>_xlfn.XLOOKUP(D267,stores!A:A,stores!B:B)</f>
        <v>Ohrid</v>
      </c>
      <c r="I267" t="str">
        <f t="shared" si="8"/>
        <v>NORMAL</v>
      </c>
      <c r="J267" s="4" t="str">
        <f t="shared" si="9"/>
        <v>7</v>
      </c>
    </row>
    <row r="268" spans="1:10">
      <c r="A268" s="2">
        <v>267</v>
      </c>
      <c r="B268" s="3">
        <v>46223</v>
      </c>
      <c r="C268" s="2">
        <v>1</v>
      </c>
      <c r="D268" s="2">
        <v>1</v>
      </c>
      <c r="E268" s="2">
        <v>9.9</v>
      </c>
      <c r="F268" s="2">
        <v>594</v>
      </c>
      <c r="G268" t="str">
        <f>_xlfn.XLOOKUP(C268,products!A:A,products!B:B)</f>
        <v>Apple</v>
      </c>
      <c r="H268" t="str">
        <f>_xlfn.XLOOKUP(D268,stores!A:A,stores!B:B)</f>
        <v>Bitola</v>
      </c>
      <c r="I268" t="str">
        <f t="shared" si="8"/>
        <v>NORMAL</v>
      </c>
      <c r="J268" s="4" t="str">
        <f t="shared" si="9"/>
        <v>7</v>
      </c>
    </row>
    <row r="269" spans="1:10">
      <c r="A269" s="2">
        <v>268</v>
      </c>
      <c r="B269" s="3">
        <v>46223</v>
      </c>
      <c r="C269" s="2">
        <v>1</v>
      </c>
      <c r="D269" s="2">
        <v>2</v>
      </c>
      <c r="E269" s="2">
        <v>15.6</v>
      </c>
      <c r="F269" s="2">
        <v>936</v>
      </c>
      <c r="G269" t="str">
        <f>_xlfn.XLOOKUP(C269,products!A:A,products!B:B)</f>
        <v>Apple</v>
      </c>
      <c r="H269" t="str">
        <f>_xlfn.XLOOKUP(D269,stores!A:A,stores!B:B)</f>
        <v>Ohrid</v>
      </c>
      <c r="I269" t="str">
        <f t="shared" si="8"/>
        <v>NORMAL</v>
      </c>
      <c r="J269" s="4" t="str">
        <f t="shared" si="9"/>
        <v>7</v>
      </c>
    </row>
    <row r="270" spans="1:10">
      <c r="A270" s="2">
        <v>269</v>
      </c>
      <c r="B270" s="3">
        <v>46223</v>
      </c>
      <c r="C270" s="2">
        <v>2</v>
      </c>
      <c r="D270" s="2">
        <v>1</v>
      </c>
      <c r="E270" s="2">
        <v>24.6</v>
      </c>
      <c r="F270" s="2">
        <v>2214</v>
      </c>
      <c r="G270" t="str">
        <f>_xlfn.XLOOKUP(C270,products!A:A,products!B:B)</f>
        <v>Banana</v>
      </c>
      <c r="H270" t="str">
        <f>_xlfn.XLOOKUP(D270,stores!A:A,stores!B:B)</f>
        <v>Bitola</v>
      </c>
      <c r="I270" t="str">
        <f t="shared" si="8"/>
        <v>NORMAL</v>
      </c>
      <c r="J270" s="4" t="str">
        <f t="shared" si="9"/>
        <v>7</v>
      </c>
    </row>
    <row r="271" spans="1:10">
      <c r="A271" s="2">
        <v>270</v>
      </c>
      <c r="B271" s="3">
        <v>46223</v>
      </c>
      <c r="C271" s="2">
        <v>2</v>
      </c>
      <c r="D271" s="2">
        <v>2</v>
      </c>
      <c r="E271" s="2">
        <v>34.3</v>
      </c>
      <c r="F271" s="2">
        <v>3087</v>
      </c>
      <c r="G271" t="str">
        <f>_xlfn.XLOOKUP(C271,products!A:A,products!B:B)</f>
        <v>Banana</v>
      </c>
      <c r="H271" t="str">
        <f>_xlfn.XLOOKUP(D271,stores!A:A,stores!B:B)</f>
        <v>Ohrid</v>
      </c>
      <c r="I271" t="str">
        <f t="shared" si="8"/>
        <v>NORMAL</v>
      </c>
      <c r="J271" s="4" t="str">
        <f t="shared" si="9"/>
        <v>7</v>
      </c>
    </row>
    <row r="272" spans="1:10">
      <c r="A272" s="2">
        <v>271</v>
      </c>
      <c r="B272" s="3">
        <v>46223</v>
      </c>
      <c r="C272" s="2">
        <v>3</v>
      </c>
      <c r="D272" s="2">
        <v>1</v>
      </c>
      <c r="E272" s="2">
        <v>10.7</v>
      </c>
      <c r="F272" s="2">
        <v>856</v>
      </c>
      <c r="G272" t="str">
        <f>_xlfn.XLOOKUP(C272,products!A:A,products!B:B)</f>
        <v>Orange</v>
      </c>
      <c r="H272" t="str">
        <f>_xlfn.XLOOKUP(D272,stores!A:A,stores!B:B)</f>
        <v>Bitola</v>
      </c>
      <c r="I272" t="str">
        <f t="shared" si="8"/>
        <v>NORMAL</v>
      </c>
      <c r="J272" s="4" t="str">
        <f t="shared" si="9"/>
        <v>7</v>
      </c>
    </row>
    <row r="273" spans="1:10">
      <c r="A273" s="2">
        <v>272</v>
      </c>
      <c r="B273" s="3">
        <v>46223</v>
      </c>
      <c r="C273" s="2">
        <v>3</v>
      </c>
      <c r="D273" s="2">
        <v>2</v>
      </c>
      <c r="E273" s="2">
        <v>11.8</v>
      </c>
      <c r="F273" s="2">
        <v>944</v>
      </c>
      <c r="G273" t="str">
        <f>_xlfn.XLOOKUP(C273,products!A:A,products!B:B)</f>
        <v>Orange</v>
      </c>
      <c r="H273" t="str">
        <f>_xlfn.XLOOKUP(D273,stores!A:A,stores!B:B)</f>
        <v>Ohrid</v>
      </c>
      <c r="I273" t="str">
        <f t="shared" si="8"/>
        <v>NORMAL</v>
      </c>
      <c r="J273" s="4" t="str">
        <f t="shared" si="9"/>
        <v>7</v>
      </c>
    </row>
    <row r="274" spans="1:10">
      <c r="A274" s="2">
        <v>273</v>
      </c>
      <c r="B274" s="3">
        <v>46223</v>
      </c>
      <c r="C274" s="2">
        <v>4</v>
      </c>
      <c r="D274" s="2">
        <v>1</v>
      </c>
      <c r="E274" s="2">
        <v>52.9</v>
      </c>
      <c r="F274" s="2">
        <v>1322</v>
      </c>
      <c r="G274" t="str">
        <f>_xlfn.XLOOKUP(C274,products!A:A,products!B:B)</f>
        <v>Watermelon</v>
      </c>
      <c r="H274" t="str">
        <f>_xlfn.XLOOKUP(D274,stores!A:A,stores!B:B)</f>
        <v>Bitola</v>
      </c>
      <c r="I274" t="str">
        <f t="shared" si="8"/>
        <v>BIG</v>
      </c>
      <c r="J274" s="4" t="str">
        <f t="shared" si="9"/>
        <v>7</v>
      </c>
    </row>
    <row r="275" spans="1:10">
      <c r="A275" s="2">
        <v>274</v>
      </c>
      <c r="B275" s="3">
        <v>46223</v>
      </c>
      <c r="C275" s="2">
        <v>4</v>
      </c>
      <c r="D275" s="2">
        <v>2</v>
      </c>
      <c r="E275" s="2">
        <v>58.3</v>
      </c>
      <c r="F275" s="2">
        <v>1458</v>
      </c>
      <c r="G275" t="str">
        <f>_xlfn.XLOOKUP(C275,products!A:A,products!B:B)</f>
        <v>Watermelon</v>
      </c>
      <c r="H275" t="str">
        <f>_xlfn.XLOOKUP(D275,stores!A:A,stores!B:B)</f>
        <v>Ohrid</v>
      </c>
      <c r="I275" t="str">
        <f t="shared" si="8"/>
        <v>BIG</v>
      </c>
      <c r="J275" s="4" t="str">
        <f t="shared" si="9"/>
        <v>7</v>
      </c>
    </row>
    <row r="276" spans="1:10">
      <c r="A276" s="2">
        <v>275</v>
      </c>
      <c r="B276" s="3">
        <v>46223</v>
      </c>
      <c r="C276" s="2">
        <v>5</v>
      </c>
      <c r="D276" s="2">
        <v>1</v>
      </c>
      <c r="E276" s="2">
        <v>5.3</v>
      </c>
      <c r="F276" s="2">
        <v>583</v>
      </c>
      <c r="G276" t="str">
        <f>_xlfn.XLOOKUP(C276,products!A:A,products!B:B)</f>
        <v>Grapes</v>
      </c>
      <c r="H276" t="str">
        <f>_xlfn.XLOOKUP(D276,stores!A:A,stores!B:B)</f>
        <v>Bitola</v>
      </c>
      <c r="I276" t="str">
        <f t="shared" si="8"/>
        <v>NORMAL</v>
      </c>
      <c r="J276" s="4" t="str">
        <f t="shared" si="9"/>
        <v>7</v>
      </c>
    </row>
    <row r="277" spans="1:10">
      <c r="A277" s="2">
        <v>276</v>
      </c>
      <c r="B277" s="3">
        <v>46223</v>
      </c>
      <c r="C277" s="2">
        <v>5</v>
      </c>
      <c r="D277" s="2">
        <v>2</v>
      </c>
      <c r="E277" s="2">
        <v>7.5</v>
      </c>
      <c r="F277" s="2">
        <v>825</v>
      </c>
      <c r="G277" t="str">
        <f>_xlfn.XLOOKUP(C277,products!A:A,products!B:B)</f>
        <v>Grapes</v>
      </c>
      <c r="H277" t="str">
        <f>_xlfn.XLOOKUP(D277,stores!A:A,stores!B:B)</f>
        <v>Ohrid</v>
      </c>
      <c r="I277" t="str">
        <f t="shared" si="8"/>
        <v>NORMAL</v>
      </c>
      <c r="J277" s="4" t="str">
        <f t="shared" si="9"/>
        <v>7</v>
      </c>
    </row>
    <row r="278" spans="1:10">
      <c r="A278" s="2">
        <v>277</v>
      </c>
      <c r="B278" s="3">
        <v>46223</v>
      </c>
      <c r="C278" s="2">
        <v>6</v>
      </c>
      <c r="D278" s="2">
        <v>1</v>
      </c>
      <c r="E278" s="2">
        <v>9.6</v>
      </c>
      <c r="F278" s="2">
        <v>2112</v>
      </c>
      <c r="G278" t="str">
        <f>_xlfn.XLOOKUP(C278,products!A:A,products!B:B)</f>
        <v>Strawberry</v>
      </c>
      <c r="H278" t="str">
        <f>_xlfn.XLOOKUP(D278,stores!A:A,stores!B:B)</f>
        <v>Bitola</v>
      </c>
      <c r="I278" t="str">
        <f t="shared" si="8"/>
        <v>NORMAL</v>
      </c>
      <c r="J278" s="4" t="str">
        <f t="shared" si="9"/>
        <v>7</v>
      </c>
    </row>
    <row r="279" spans="1:10">
      <c r="A279" s="2">
        <v>278</v>
      </c>
      <c r="B279" s="3">
        <v>46223</v>
      </c>
      <c r="C279" s="2">
        <v>6</v>
      </c>
      <c r="D279" s="2">
        <v>2</v>
      </c>
      <c r="E279" s="2">
        <v>13</v>
      </c>
      <c r="F279" s="2">
        <v>2860</v>
      </c>
      <c r="G279" t="str">
        <f>_xlfn.XLOOKUP(C279,products!A:A,products!B:B)</f>
        <v>Strawberry</v>
      </c>
      <c r="H279" t="str">
        <f>_xlfn.XLOOKUP(D279,stores!A:A,stores!B:B)</f>
        <v>Ohrid</v>
      </c>
      <c r="I279" t="str">
        <f t="shared" si="8"/>
        <v>NORMAL</v>
      </c>
      <c r="J279" s="4" t="str">
        <f t="shared" si="9"/>
        <v>7</v>
      </c>
    </row>
    <row r="280" spans="1:10">
      <c r="A280" s="2">
        <v>279</v>
      </c>
      <c r="B280" s="3">
        <v>46223</v>
      </c>
      <c r="C280" s="2">
        <v>7</v>
      </c>
      <c r="D280" s="2">
        <v>1</v>
      </c>
      <c r="E280" s="2">
        <v>21.2</v>
      </c>
      <c r="F280" s="2">
        <v>2014</v>
      </c>
      <c r="G280" t="str">
        <f>_xlfn.XLOOKUP(C280,products!A:A,products!B:B)</f>
        <v>Peach</v>
      </c>
      <c r="H280" t="str">
        <f>_xlfn.XLOOKUP(D280,stores!A:A,stores!B:B)</f>
        <v>Bitola</v>
      </c>
      <c r="I280" t="str">
        <f t="shared" si="8"/>
        <v>NORMAL</v>
      </c>
      <c r="J280" s="4" t="str">
        <f t="shared" si="9"/>
        <v>7</v>
      </c>
    </row>
    <row r="281" spans="1:10">
      <c r="A281" s="2">
        <v>280</v>
      </c>
      <c r="B281" s="3">
        <v>46223</v>
      </c>
      <c r="C281" s="2">
        <v>7</v>
      </c>
      <c r="D281" s="2">
        <v>2</v>
      </c>
      <c r="E281" s="2">
        <v>39.1</v>
      </c>
      <c r="F281" s="2">
        <v>3714</v>
      </c>
      <c r="G281" t="str">
        <f>_xlfn.XLOOKUP(C281,products!A:A,products!B:B)</f>
        <v>Peach</v>
      </c>
      <c r="H281" t="str">
        <f>_xlfn.XLOOKUP(D281,stores!A:A,stores!B:B)</f>
        <v>Ohrid</v>
      </c>
      <c r="I281" t="str">
        <f t="shared" si="8"/>
        <v>NORMAL</v>
      </c>
      <c r="J281" s="4" t="str">
        <f t="shared" si="9"/>
        <v>7</v>
      </c>
    </row>
    <row r="282" spans="1:10">
      <c r="A282" s="2">
        <v>281</v>
      </c>
      <c r="B282" s="3">
        <v>46224</v>
      </c>
      <c r="C282" s="2">
        <v>1</v>
      </c>
      <c r="D282" s="2">
        <v>1</v>
      </c>
      <c r="E282" s="2">
        <v>17.5</v>
      </c>
      <c r="F282" s="2">
        <v>1050</v>
      </c>
      <c r="G282" t="str">
        <f>_xlfn.XLOOKUP(C282,products!A:A,products!B:B)</f>
        <v>Apple</v>
      </c>
      <c r="H282" t="str">
        <f>_xlfn.XLOOKUP(D282,stores!A:A,stores!B:B)</f>
        <v>Bitola</v>
      </c>
      <c r="I282" t="str">
        <f t="shared" si="8"/>
        <v>NORMAL</v>
      </c>
      <c r="J282" s="4" t="str">
        <f t="shared" si="9"/>
        <v>7</v>
      </c>
    </row>
    <row r="283" spans="1:10">
      <c r="A283" s="2">
        <v>282</v>
      </c>
      <c r="B283" s="3">
        <v>46224</v>
      </c>
      <c r="C283" s="2">
        <v>1</v>
      </c>
      <c r="D283" s="2">
        <v>2</v>
      </c>
      <c r="E283" s="2">
        <v>21.9</v>
      </c>
      <c r="F283" s="2">
        <v>1314</v>
      </c>
      <c r="G283" t="str">
        <f>_xlfn.XLOOKUP(C283,products!A:A,products!B:B)</f>
        <v>Apple</v>
      </c>
      <c r="H283" t="str">
        <f>_xlfn.XLOOKUP(D283,stores!A:A,stores!B:B)</f>
        <v>Ohrid</v>
      </c>
      <c r="I283" t="str">
        <f t="shared" si="8"/>
        <v>NORMAL</v>
      </c>
      <c r="J283" s="4" t="str">
        <f t="shared" si="9"/>
        <v>7</v>
      </c>
    </row>
    <row r="284" spans="1:10">
      <c r="A284" s="2">
        <v>283</v>
      </c>
      <c r="B284" s="3">
        <v>46224</v>
      </c>
      <c r="C284" s="2">
        <v>2</v>
      </c>
      <c r="D284" s="2">
        <v>1</v>
      </c>
      <c r="E284" s="2">
        <v>22.4</v>
      </c>
      <c r="F284" s="2">
        <v>2016</v>
      </c>
      <c r="G284" t="str">
        <f>_xlfn.XLOOKUP(C284,products!A:A,products!B:B)</f>
        <v>Banana</v>
      </c>
      <c r="H284" t="str">
        <f>_xlfn.XLOOKUP(D284,stores!A:A,stores!B:B)</f>
        <v>Bitola</v>
      </c>
      <c r="I284" t="str">
        <f t="shared" si="8"/>
        <v>NORMAL</v>
      </c>
      <c r="J284" s="4" t="str">
        <f t="shared" si="9"/>
        <v>7</v>
      </c>
    </row>
    <row r="285" spans="1:10">
      <c r="A285" s="2">
        <v>284</v>
      </c>
      <c r="B285" s="3">
        <v>46224</v>
      </c>
      <c r="C285" s="2">
        <v>2</v>
      </c>
      <c r="D285" s="2">
        <v>2</v>
      </c>
      <c r="E285" s="2">
        <v>30.9</v>
      </c>
      <c r="F285" s="2">
        <v>2781</v>
      </c>
      <c r="G285" t="str">
        <f>_xlfn.XLOOKUP(C285,products!A:A,products!B:B)</f>
        <v>Banana</v>
      </c>
      <c r="H285" t="str">
        <f>_xlfn.XLOOKUP(D285,stores!A:A,stores!B:B)</f>
        <v>Ohrid</v>
      </c>
      <c r="I285" t="str">
        <f t="shared" si="8"/>
        <v>NORMAL</v>
      </c>
      <c r="J285" s="4" t="str">
        <f t="shared" si="9"/>
        <v>7</v>
      </c>
    </row>
    <row r="286" spans="1:10">
      <c r="A286" s="2">
        <v>285</v>
      </c>
      <c r="B286" s="3">
        <v>46224</v>
      </c>
      <c r="C286" s="2">
        <v>3</v>
      </c>
      <c r="D286" s="2">
        <v>1</v>
      </c>
      <c r="E286" s="2">
        <v>5.7</v>
      </c>
      <c r="F286" s="2">
        <v>456</v>
      </c>
      <c r="G286" t="str">
        <f>_xlfn.XLOOKUP(C286,products!A:A,products!B:B)</f>
        <v>Orange</v>
      </c>
      <c r="H286" t="str">
        <f>_xlfn.XLOOKUP(D286,stores!A:A,stores!B:B)</f>
        <v>Bitola</v>
      </c>
      <c r="I286" t="str">
        <f t="shared" si="8"/>
        <v>NORMAL</v>
      </c>
      <c r="J286" s="4" t="str">
        <f t="shared" si="9"/>
        <v>7</v>
      </c>
    </row>
    <row r="287" spans="1:10">
      <c r="A287" s="2">
        <v>286</v>
      </c>
      <c r="B287" s="3">
        <v>46224</v>
      </c>
      <c r="C287" s="2">
        <v>3</v>
      </c>
      <c r="D287" s="2">
        <v>2</v>
      </c>
      <c r="E287" s="2">
        <v>14.4</v>
      </c>
      <c r="F287" s="2">
        <v>1152</v>
      </c>
      <c r="G287" t="str">
        <f>_xlfn.XLOOKUP(C287,products!A:A,products!B:B)</f>
        <v>Orange</v>
      </c>
      <c r="H287" t="str">
        <f>_xlfn.XLOOKUP(D287,stores!A:A,stores!B:B)</f>
        <v>Ohrid</v>
      </c>
      <c r="I287" t="str">
        <f t="shared" si="8"/>
        <v>NORMAL</v>
      </c>
      <c r="J287" s="4" t="str">
        <f t="shared" si="9"/>
        <v>7</v>
      </c>
    </row>
    <row r="288" spans="1:10">
      <c r="A288" s="2">
        <v>287</v>
      </c>
      <c r="B288" s="3">
        <v>46224</v>
      </c>
      <c r="C288" s="2">
        <v>4</v>
      </c>
      <c r="D288" s="2">
        <v>1</v>
      </c>
      <c r="E288" s="2">
        <v>73.5</v>
      </c>
      <c r="F288" s="2">
        <v>1838</v>
      </c>
      <c r="G288" t="str">
        <f>_xlfn.XLOOKUP(C288,products!A:A,products!B:B)</f>
        <v>Watermelon</v>
      </c>
      <c r="H288" t="str">
        <f>_xlfn.XLOOKUP(D288,stores!A:A,stores!B:B)</f>
        <v>Bitola</v>
      </c>
      <c r="I288" t="str">
        <f t="shared" si="8"/>
        <v>BIG</v>
      </c>
      <c r="J288" s="4" t="str">
        <f t="shared" si="9"/>
        <v>7</v>
      </c>
    </row>
    <row r="289" spans="1:10">
      <c r="A289" s="2">
        <v>288</v>
      </c>
      <c r="B289" s="3">
        <v>46224</v>
      </c>
      <c r="C289" s="2">
        <v>4</v>
      </c>
      <c r="D289" s="2">
        <v>2</v>
      </c>
      <c r="E289" s="2">
        <v>90.9</v>
      </c>
      <c r="F289" s="2">
        <v>2272</v>
      </c>
      <c r="G289" t="str">
        <f>_xlfn.XLOOKUP(C289,products!A:A,products!B:B)</f>
        <v>Watermelon</v>
      </c>
      <c r="H289" t="str">
        <f>_xlfn.XLOOKUP(D289,stores!A:A,stores!B:B)</f>
        <v>Ohrid</v>
      </c>
      <c r="I289" t="str">
        <f t="shared" si="8"/>
        <v>BIG</v>
      </c>
      <c r="J289" s="4" t="str">
        <f t="shared" si="9"/>
        <v>7</v>
      </c>
    </row>
    <row r="290" spans="1:10">
      <c r="A290" s="2">
        <v>289</v>
      </c>
      <c r="B290" s="3">
        <v>46224</v>
      </c>
      <c r="C290" s="2">
        <v>5</v>
      </c>
      <c r="D290" s="2">
        <v>1</v>
      </c>
      <c r="E290" s="2">
        <v>4.3</v>
      </c>
      <c r="F290" s="2">
        <v>473</v>
      </c>
      <c r="G290" t="str">
        <f>_xlfn.XLOOKUP(C290,products!A:A,products!B:B)</f>
        <v>Grapes</v>
      </c>
      <c r="H290" t="str">
        <f>_xlfn.XLOOKUP(D290,stores!A:A,stores!B:B)</f>
        <v>Bitola</v>
      </c>
      <c r="I290" t="str">
        <f t="shared" si="8"/>
        <v>NORMAL</v>
      </c>
      <c r="J290" s="4" t="str">
        <f t="shared" si="9"/>
        <v>7</v>
      </c>
    </row>
    <row r="291" spans="1:10">
      <c r="A291" s="2">
        <v>290</v>
      </c>
      <c r="B291" s="3">
        <v>46224</v>
      </c>
      <c r="C291" s="2">
        <v>5</v>
      </c>
      <c r="D291" s="2">
        <v>2</v>
      </c>
      <c r="E291" s="2">
        <v>7.5</v>
      </c>
      <c r="F291" s="2">
        <v>825</v>
      </c>
      <c r="G291" t="str">
        <f>_xlfn.XLOOKUP(C291,products!A:A,products!B:B)</f>
        <v>Grapes</v>
      </c>
      <c r="H291" t="str">
        <f>_xlfn.XLOOKUP(D291,stores!A:A,stores!B:B)</f>
        <v>Ohrid</v>
      </c>
      <c r="I291" t="str">
        <f t="shared" si="8"/>
        <v>NORMAL</v>
      </c>
      <c r="J291" s="4" t="str">
        <f t="shared" si="9"/>
        <v>7</v>
      </c>
    </row>
    <row r="292" spans="1:10">
      <c r="A292" s="2">
        <v>291</v>
      </c>
      <c r="B292" s="3">
        <v>46224</v>
      </c>
      <c r="C292" s="2">
        <v>6</v>
      </c>
      <c r="D292" s="2">
        <v>1</v>
      </c>
      <c r="E292" s="2">
        <v>10.7</v>
      </c>
      <c r="F292" s="2">
        <v>2354</v>
      </c>
      <c r="G292" t="str">
        <f>_xlfn.XLOOKUP(C292,products!A:A,products!B:B)</f>
        <v>Strawberry</v>
      </c>
      <c r="H292" t="str">
        <f>_xlfn.XLOOKUP(D292,stores!A:A,stores!B:B)</f>
        <v>Bitola</v>
      </c>
      <c r="I292" t="str">
        <f t="shared" si="8"/>
        <v>NORMAL</v>
      </c>
      <c r="J292" s="4" t="str">
        <f t="shared" si="9"/>
        <v>7</v>
      </c>
    </row>
    <row r="293" spans="1:10">
      <c r="A293" s="2">
        <v>292</v>
      </c>
      <c r="B293" s="3">
        <v>46224</v>
      </c>
      <c r="C293" s="2">
        <v>6</v>
      </c>
      <c r="D293" s="2">
        <v>2</v>
      </c>
      <c r="E293" s="2">
        <v>11.3</v>
      </c>
      <c r="F293" s="2">
        <v>2486</v>
      </c>
      <c r="G293" t="str">
        <f>_xlfn.XLOOKUP(C293,products!A:A,products!B:B)</f>
        <v>Strawberry</v>
      </c>
      <c r="H293" t="str">
        <f>_xlfn.XLOOKUP(D293,stores!A:A,stores!B:B)</f>
        <v>Ohrid</v>
      </c>
      <c r="I293" t="str">
        <f t="shared" si="8"/>
        <v>NORMAL</v>
      </c>
      <c r="J293" s="4" t="str">
        <f t="shared" si="9"/>
        <v>7</v>
      </c>
    </row>
    <row r="294" spans="1:10">
      <c r="A294" s="2">
        <v>293</v>
      </c>
      <c r="B294" s="3">
        <v>46224</v>
      </c>
      <c r="C294" s="2">
        <v>7</v>
      </c>
      <c r="D294" s="2">
        <v>1</v>
      </c>
      <c r="E294" s="2">
        <v>19.8</v>
      </c>
      <c r="F294" s="2">
        <v>1881</v>
      </c>
      <c r="G294" t="str">
        <f>_xlfn.XLOOKUP(C294,products!A:A,products!B:B)</f>
        <v>Peach</v>
      </c>
      <c r="H294" t="str">
        <f>_xlfn.XLOOKUP(D294,stores!A:A,stores!B:B)</f>
        <v>Bitola</v>
      </c>
      <c r="I294" t="str">
        <f t="shared" si="8"/>
        <v>NORMAL</v>
      </c>
      <c r="J294" s="4" t="str">
        <f t="shared" si="9"/>
        <v>7</v>
      </c>
    </row>
    <row r="295" spans="1:10">
      <c r="A295" s="2">
        <v>294</v>
      </c>
      <c r="B295" s="3">
        <v>46224</v>
      </c>
      <c r="C295" s="2">
        <v>7</v>
      </c>
      <c r="D295" s="2">
        <v>2</v>
      </c>
      <c r="E295" s="2">
        <v>27.2</v>
      </c>
      <c r="F295" s="2">
        <v>2584</v>
      </c>
      <c r="G295" t="str">
        <f>_xlfn.XLOOKUP(C295,products!A:A,products!B:B)</f>
        <v>Peach</v>
      </c>
      <c r="H295" t="str">
        <f>_xlfn.XLOOKUP(D295,stores!A:A,stores!B:B)</f>
        <v>Ohrid</v>
      </c>
      <c r="I295" t="str">
        <f t="shared" si="8"/>
        <v>NORMAL</v>
      </c>
      <c r="J295" s="4" t="str">
        <f t="shared" si="9"/>
        <v>7</v>
      </c>
    </row>
    <row r="296" spans="1:10">
      <c r="A296" s="2">
        <v>295</v>
      </c>
      <c r="B296" s="3">
        <v>46225</v>
      </c>
      <c r="C296" s="2">
        <v>1</v>
      </c>
      <c r="D296" s="2">
        <v>1</v>
      </c>
      <c r="E296" s="2">
        <v>17.7</v>
      </c>
      <c r="F296" s="2">
        <v>1062</v>
      </c>
      <c r="G296" t="str">
        <f>_xlfn.XLOOKUP(C296,products!A:A,products!B:B)</f>
        <v>Apple</v>
      </c>
      <c r="H296" t="str">
        <f>_xlfn.XLOOKUP(D296,stores!A:A,stores!B:B)</f>
        <v>Bitola</v>
      </c>
      <c r="I296" t="str">
        <f t="shared" si="8"/>
        <v>NORMAL</v>
      </c>
      <c r="J296" s="4" t="str">
        <f t="shared" si="9"/>
        <v>7</v>
      </c>
    </row>
    <row r="297" spans="1:10">
      <c r="A297" s="2">
        <v>296</v>
      </c>
      <c r="B297" s="3">
        <v>46225</v>
      </c>
      <c r="C297" s="2">
        <v>1</v>
      </c>
      <c r="D297" s="2">
        <v>2</v>
      </c>
      <c r="E297" s="2">
        <v>18.8</v>
      </c>
      <c r="F297" s="2">
        <v>1128</v>
      </c>
      <c r="G297" t="str">
        <f>_xlfn.XLOOKUP(C297,products!A:A,products!B:B)</f>
        <v>Apple</v>
      </c>
      <c r="H297" t="str">
        <f>_xlfn.XLOOKUP(D297,stores!A:A,stores!B:B)</f>
        <v>Ohrid</v>
      </c>
      <c r="I297" t="str">
        <f t="shared" si="8"/>
        <v>NORMAL</v>
      </c>
      <c r="J297" s="4" t="str">
        <f t="shared" si="9"/>
        <v>7</v>
      </c>
    </row>
    <row r="298" spans="1:10">
      <c r="A298" s="2">
        <v>297</v>
      </c>
      <c r="B298" s="3">
        <v>46225</v>
      </c>
      <c r="C298" s="2">
        <v>2</v>
      </c>
      <c r="D298" s="2">
        <v>1</v>
      </c>
      <c r="E298" s="2">
        <v>24.4</v>
      </c>
      <c r="F298" s="2">
        <v>2196</v>
      </c>
      <c r="G298" t="str">
        <f>_xlfn.XLOOKUP(C298,products!A:A,products!B:B)</f>
        <v>Banana</v>
      </c>
      <c r="H298" t="str">
        <f>_xlfn.XLOOKUP(D298,stores!A:A,stores!B:B)</f>
        <v>Bitola</v>
      </c>
      <c r="I298" t="str">
        <f t="shared" si="8"/>
        <v>NORMAL</v>
      </c>
      <c r="J298" s="4" t="str">
        <f t="shared" si="9"/>
        <v>7</v>
      </c>
    </row>
    <row r="299" spans="1:10">
      <c r="A299" s="2">
        <v>298</v>
      </c>
      <c r="B299" s="3">
        <v>46225</v>
      </c>
      <c r="C299" s="2">
        <v>2</v>
      </c>
      <c r="D299" s="2">
        <v>2</v>
      </c>
      <c r="E299" s="2">
        <v>35.4</v>
      </c>
      <c r="F299" s="2">
        <v>3186</v>
      </c>
      <c r="G299" t="str">
        <f>_xlfn.XLOOKUP(C299,products!A:A,products!B:B)</f>
        <v>Banana</v>
      </c>
      <c r="H299" t="str">
        <f>_xlfn.XLOOKUP(D299,stores!A:A,stores!B:B)</f>
        <v>Ohrid</v>
      </c>
      <c r="I299" t="str">
        <f t="shared" si="8"/>
        <v>NORMAL</v>
      </c>
      <c r="J299" s="4" t="str">
        <f t="shared" si="9"/>
        <v>7</v>
      </c>
    </row>
    <row r="300" spans="1:10">
      <c r="A300" s="2">
        <v>299</v>
      </c>
      <c r="B300" s="3">
        <v>46225</v>
      </c>
      <c r="C300" s="2">
        <v>3</v>
      </c>
      <c r="D300" s="2">
        <v>1</v>
      </c>
      <c r="E300" s="2">
        <v>13.7</v>
      </c>
      <c r="F300" s="2">
        <v>1096</v>
      </c>
      <c r="G300" t="str">
        <f>_xlfn.XLOOKUP(C300,products!A:A,products!B:B)</f>
        <v>Orange</v>
      </c>
      <c r="H300" t="str">
        <f>_xlfn.XLOOKUP(D300,stores!A:A,stores!B:B)</f>
        <v>Bitola</v>
      </c>
      <c r="I300" t="str">
        <f t="shared" si="8"/>
        <v>NORMAL</v>
      </c>
      <c r="J300" s="4" t="str">
        <f t="shared" si="9"/>
        <v>7</v>
      </c>
    </row>
    <row r="301" spans="1:10">
      <c r="A301" s="2">
        <v>300</v>
      </c>
      <c r="B301" s="3">
        <v>46225</v>
      </c>
      <c r="C301" s="2">
        <v>3</v>
      </c>
      <c r="D301" s="2">
        <v>2</v>
      </c>
      <c r="E301" s="2">
        <v>16.6</v>
      </c>
      <c r="F301" s="2">
        <v>1328</v>
      </c>
      <c r="G301" t="str">
        <f>_xlfn.XLOOKUP(C301,products!A:A,products!B:B)</f>
        <v>Orange</v>
      </c>
      <c r="H301" t="str">
        <f>_xlfn.XLOOKUP(D301,stores!A:A,stores!B:B)</f>
        <v>Ohrid</v>
      </c>
      <c r="I301" t="str">
        <f t="shared" si="8"/>
        <v>NORMAL</v>
      </c>
      <c r="J301" s="4" t="str">
        <f t="shared" si="9"/>
        <v>7</v>
      </c>
    </row>
    <row r="302" spans="1:10">
      <c r="A302" s="2">
        <v>301</v>
      </c>
      <c r="B302" s="3">
        <v>46225</v>
      </c>
      <c r="C302" s="2">
        <v>4</v>
      </c>
      <c r="D302" s="2">
        <v>1</v>
      </c>
      <c r="E302" s="2">
        <v>84.5</v>
      </c>
      <c r="F302" s="2">
        <v>2112</v>
      </c>
      <c r="G302" t="str">
        <f>_xlfn.XLOOKUP(C302,products!A:A,products!B:B)</f>
        <v>Watermelon</v>
      </c>
      <c r="H302" t="str">
        <f>_xlfn.XLOOKUP(D302,stores!A:A,stores!B:B)</f>
        <v>Bitola</v>
      </c>
      <c r="I302" t="str">
        <f t="shared" si="8"/>
        <v>BIG</v>
      </c>
      <c r="J302" s="4" t="str">
        <f t="shared" si="9"/>
        <v>7</v>
      </c>
    </row>
    <row r="303" spans="1:10">
      <c r="A303" s="2">
        <v>302</v>
      </c>
      <c r="B303" s="3">
        <v>46225</v>
      </c>
      <c r="C303" s="2">
        <v>4</v>
      </c>
      <c r="D303" s="2">
        <v>2</v>
      </c>
      <c r="E303" s="2">
        <v>84</v>
      </c>
      <c r="F303" s="2">
        <v>2100</v>
      </c>
      <c r="G303" t="str">
        <f>_xlfn.XLOOKUP(C303,products!A:A,products!B:B)</f>
        <v>Watermelon</v>
      </c>
      <c r="H303" t="str">
        <f>_xlfn.XLOOKUP(D303,stores!A:A,stores!B:B)</f>
        <v>Ohrid</v>
      </c>
      <c r="I303" t="str">
        <f t="shared" si="8"/>
        <v>BIG</v>
      </c>
      <c r="J303" s="4" t="str">
        <f t="shared" si="9"/>
        <v>7</v>
      </c>
    </row>
    <row r="304" spans="1:10">
      <c r="A304" s="2">
        <v>303</v>
      </c>
      <c r="B304" s="3">
        <v>46225</v>
      </c>
      <c r="C304" s="2">
        <v>5</v>
      </c>
      <c r="D304" s="2">
        <v>1</v>
      </c>
      <c r="E304" s="2">
        <v>5.7</v>
      </c>
      <c r="F304" s="2">
        <v>627</v>
      </c>
      <c r="G304" t="str">
        <f>_xlfn.XLOOKUP(C304,products!A:A,products!B:B)</f>
        <v>Grapes</v>
      </c>
      <c r="H304" t="str">
        <f>_xlfn.XLOOKUP(D304,stores!A:A,stores!B:B)</f>
        <v>Bitola</v>
      </c>
      <c r="I304" t="str">
        <f t="shared" si="8"/>
        <v>NORMAL</v>
      </c>
      <c r="J304" s="4" t="str">
        <f t="shared" si="9"/>
        <v>7</v>
      </c>
    </row>
    <row r="305" spans="1:10">
      <c r="A305" s="2">
        <v>304</v>
      </c>
      <c r="B305" s="3">
        <v>46225</v>
      </c>
      <c r="C305" s="2">
        <v>5</v>
      </c>
      <c r="D305" s="2">
        <v>2</v>
      </c>
      <c r="E305" s="2">
        <v>5.4</v>
      </c>
      <c r="F305" s="2">
        <v>594</v>
      </c>
      <c r="G305" t="str">
        <f>_xlfn.XLOOKUP(C305,products!A:A,products!B:B)</f>
        <v>Grapes</v>
      </c>
      <c r="H305" t="str">
        <f>_xlfn.XLOOKUP(D305,stores!A:A,stores!B:B)</f>
        <v>Ohrid</v>
      </c>
      <c r="I305" t="str">
        <f t="shared" si="8"/>
        <v>NORMAL</v>
      </c>
      <c r="J305" s="4" t="str">
        <f t="shared" si="9"/>
        <v>7</v>
      </c>
    </row>
    <row r="306" spans="1:10">
      <c r="A306" s="2">
        <v>305</v>
      </c>
      <c r="B306" s="3">
        <v>46225</v>
      </c>
      <c r="C306" s="2">
        <v>6</v>
      </c>
      <c r="D306" s="2">
        <v>1</v>
      </c>
      <c r="E306" s="2">
        <v>8.5</v>
      </c>
      <c r="F306" s="2">
        <v>1870</v>
      </c>
      <c r="G306" t="str">
        <f>_xlfn.XLOOKUP(C306,products!A:A,products!B:B)</f>
        <v>Strawberry</v>
      </c>
      <c r="H306" t="str">
        <f>_xlfn.XLOOKUP(D306,stores!A:A,stores!B:B)</f>
        <v>Bitola</v>
      </c>
      <c r="I306" t="str">
        <f t="shared" si="8"/>
        <v>NORMAL</v>
      </c>
      <c r="J306" s="4" t="str">
        <f t="shared" si="9"/>
        <v>7</v>
      </c>
    </row>
    <row r="307" spans="1:10">
      <c r="A307" s="2">
        <v>306</v>
      </c>
      <c r="B307" s="3">
        <v>46225</v>
      </c>
      <c r="C307" s="2">
        <v>6</v>
      </c>
      <c r="D307" s="2">
        <v>2</v>
      </c>
      <c r="E307" s="2">
        <v>12.1</v>
      </c>
      <c r="F307" s="2">
        <v>2662</v>
      </c>
      <c r="G307" t="str">
        <f>_xlfn.XLOOKUP(C307,products!A:A,products!B:B)</f>
        <v>Strawberry</v>
      </c>
      <c r="H307" t="str">
        <f>_xlfn.XLOOKUP(D307,stores!A:A,stores!B:B)</f>
        <v>Ohrid</v>
      </c>
      <c r="I307" t="str">
        <f t="shared" si="8"/>
        <v>NORMAL</v>
      </c>
      <c r="J307" s="4" t="str">
        <f t="shared" si="9"/>
        <v>7</v>
      </c>
    </row>
    <row r="308" spans="1:10">
      <c r="A308" s="2">
        <v>307</v>
      </c>
      <c r="B308" s="3">
        <v>46225</v>
      </c>
      <c r="C308" s="2">
        <v>7</v>
      </c>
      <c r="D308" s="2">
        <v>1</v>
      </c>
      <c r="E308" s="2">
        <v>18.6</v>
      </c>
      <c r="F308" s="2">
        <v>1767</v>
      </c>
      <c r="G308" t="str">
        <f>_xlfn.XLOOKUP(C308,products!A:A,products!B:B)</f>
        <v>Peach</v>
      </c>
      <c r="H308" t="str">
        <f>_xlfn.XLOOKUP(D308,stores!A:A,stores!B:B)</f>
        <v>Bitola</v>
      </c>
      <c r="I308" t="str">
        <f t="shared" si="8"/>
        <v>NORMAL</v>
      </c>
      <c r="J308" s="4" t="str">
        <f t="shared" si="9"/>
        <v>7</v>
      </c>
    </row>
    <row r="309" spans="1:10">
      <c r="A309" s="2">
        <v>308</v>
      </c>
      <c r="B309" s="3">
        <v>46225</v>
      </c>
      <c r="C309" s="2">
        <v>7</v>
      </c>
      <c r="D309" s="2">
        <v>2</v>
      </c>
      <c r="E309" s="2">
        <v>43.1</v>
      </c>
      <c r="F309" s="2">
        <v>4094</v>
      </c>
      <c r="G309" t="str">
        <f>_xlfn.XLOOKUP(C309,products!A:A,products!B:B)</f>
        <v>Peach</v>
      </c>
      <c r="H309" t="str">
        <f>_xlfn.XLOOKUP(D309,stores!A:A,stores!B:B)</f>
        <v>Ohrid</v>
      </c>
      <c r="I309" t="str">
        <f t="shared" si="8"/>
        <v>NORMAL</v>
      </c>
      <c r="J309" s="4" t="str">
        <f t="shared" si="9"/>
        <v>7</v>
      </c>
    </row>
    <row r="310" spans="1:10">
      <c r="A310" s="2">
        <v>309</v>
      </c>
      <c r="B310" s="3">
        <v>46226</v>
      </c>
      <c r="C310" s="2">
        <v>1</v>
      </c>
      <c r="D310" s="2">
        <v>1</v>
      </c>
      <c r="E310" s="2">
        <v>20</v>
      </c>
      <c r="F310" s="2">
        <v>1200</v>
      </c>
      <c r="G310" t="str">
        <f>_xlfn.XLOOKUP(C310,products!A:A,products!B:B)</f>
        <v>Apple</v>
      </c>
      <c r="H310" t="str">
        <f>_xlfn.XLOOKUP(D310,stores!A:A,stores!B:B)</f>
        <v>Bitola</v>
      </c>
      <c r="I310" t="str">
        <f t="shared" si="8"/>
        <v>NORMAL</v>
      </c>
      <c r="J310" s="4" t="str">
        <f t="shared" si="9"/>
        <v>7</v>
      </c>
    </row>
    <row r="311" spans="1:10">
      <c r="A311" s="2">
        <v>310</v>
      </c>
      <c r="B311" s="3">
        <v>46226</v>
      </c>
      <c r="C311" s="2">
        <v>1</v>
      </c>
      <c r="D311" s="2">
        <v>2</v>
      </c>
      <c r="E311" s="2">
        <v>15.6</v>
      </c>
      <c r="F311" s="2">
        <v>936</v>
      </c>
      <c r="G311" t="str">
        <f>_xlfn.XLOOKUP(C311,products!A:A,products!B:B)</f>
        <v>Apple</v>
      </c>
      <c r="H311" t="str">
        <f>_xlfn.XLOOKUP(D311,stores!A:A,stores!B:B)</f>
        <v>Ohrid</v>
      </c>
      <c r="I311" t="str">
        <f t="shared" si="8"/>
        <v>NORMAL</v>
      </c>
      <c r="J311" s="4" t="str">
        <f t="shared" si="9"/>
        <v>7</v>
      </c>
    </row>
    <row r="312" spans="1:10">
      <c r="A312" s="2">
        <v>311</v>
      </c>
      <c r="B312" s="3">
        <v>46226</v>
      </c>
      <c r="C312" s="2">
        <v>2</v>
      </c>
      <c r="D312" s="2">
        <v>1</v>
      </c>
      <c r="E312" s="2">
        <v>27.8</v>
      </c>
      <c r="F312" s="2">
        <v>2502</v>
      </c>
      <c r="G312" t="str">
        <f>_xlfn.XLOOKUP(C312,products!A:A,products!B:B)</f>
        <v>Banana</v>
      </c>
      <c r="H312" t="str">
        <f>_xlfn.XLOOKUP(D312,stores!A:A,stores!B:B)</f>
        <v>Bitola</v>
      </c>
      <c r="I312" t="str">
        <f t="shared" si="8"/>
        <v>NORMAL</v>
      </c>
      <c r="J312" s="4" t="str">
        <f t="shared" si="9"/>
        <v>7</v>
      </c>
    </row>
    <row r="313" spans="1:10">
      <c r="A313" s="2">
        <v>312</v>
      </c>
      <c r="B313" s="3">
        <v>46226</v>
      </c>
      <c r="C313" s="2">
        <v>2</v>
      </c>
      <c r="D313" s="2">
        <v>2</v>
      </c>
      <c r="E313" s="2">
        <v>32.1</v>
      </c>
      <c r="F313" s="2">
        <v>2889</v>
      </c>
      <c r="G313" t="str">
        <f>_xlfn.XLOOKUP(C313,products!A:A,products!B:B)</f>
        <v>Banana</v>
      </c>
      <c r="H313" t="str">
        <f>_xlfn.XLOOKUP(D313,stores!A:A,stores!B:B)</f>
        <v>Ohrid</v>
      </c>
      <c r="I313" t="str">
        <f t="shared" si="8"/>
        <v>NORMAL</v>
      </c>
      <c r="J313" s="4" t="str">
        <f t="shared" si="9"/>
        <v>7</v>
      </c>
    </row>
    <row r="314" spans="1:10">
      <c r="A314" s="2">
        <v>313</v>
      </c>
      <c r="B314" s="3">
        <v>46226</v>
      </c>
      <c r="C314" s="2">
        <v>3</v>
      </c>
      <c r="D314" s="2">
        <v>1</v>
      </c>
      <c r="E314" s="2">
        <v>10</v>
      </c>
      <c r="F314" s="2">
        <v>800</v>
      </c>
      <c r="G314" t="str">
        <f>_xlfn.XLOOKUP(C314,products!A:A,products!B:B)</f>
        <v>Orange</v>
      </c>
      <c r="H314" t="str">
        <f>_xlfn.XLOOKUP(D314,stores!A:A,stores!B:B)</f>
        <v>Bitola</v>
      </c>
      <c r="I314" t="str">
        <f t="shared" si="8"/>
        <v>NORMAL</v>
      </c>
      <c r="J314" s="4" t="str">
        <f t="shared" si="9"/>
        <v>7</v>
      </c>
    </row>
    <row r="315" spans="1:10">
      <c r="A315" s="2">
        <v>314</v>
      </c>
      <c r="B315" s="3">
        <v>46226</v>
      </c>
      <c r="C315" s="2">
        <v>3</v>
      </c>
      <c r="D315" s="2">
        <v>2</v>
      </c>
      <c r="E315" s="2">
        <v>15.3</v>
      </c>
      <c r="F315" s="2">
        <v>1224</v>
      </c>
      <c r="G315" t="str">
        <f>_xlfn.XLOOKUP(C315,products!A:A,products!B:B)</f>
        <v>Orange</v>
      </c>
      <c r="H315" t="str">
        <f>_xlfn.XLOOKUP(D315,stores!A:A,stores!B:B)</f>
        <v>Ohrid</v>
      </c>
      <c r="I315" t="str">
        <f t="shared" si="8"/>
        <v>NORMAL</v>
      </c>
      <c r="J315" s="4" t="str">
        <f t="shared" si="9"/>
        <v>7</v>
      </c>
    </row>
    <row r="316" spans="1:10">
      <c r="A316" s="2">
        <v>315</v>
      </c>
      <c r="B316" s="3">
        <v>46226</v>
      </c>
      <c r="C316" s="2">
        <v>4</v>
      </c>
      <c r="D316" s="2">
        <v>1</v>
      </c>
      <c r="E316" s="2">
        <v>75.5</v>
      </c>
      <c r="F316" s="2">
        <v>1888</v>
      </c>
      <c r="G316" t="str">
        <f>_xlfn.XLOOKUP(C316,products!A:A,products!B:B)</f>
        <v>Watermelon</v>
      </c>
      <c r="H316" t="str">
        <f>_xlfn.XLOOKUP(D316,stores!A:A,stores!B:B)</f>
        <v>Bitola</v>
      </c>
      <c r="I316" t="str">
        <f t="shared" si="8"/>
        <v>BIG</v>
      </c>
      <c r="J316" s="4" t="str">
        <f t="shared" si="9"/>
        <v>7</v>
      </c>
    </row>
    <row r="317" spans="1:10">
      <c r="A317" s="2">
        <v>316</v>
      </c>
      <c r="B317" s="3">
        <v>46226</v>
      </c>
      <c r="C317" s="2">
        <v>4</v>
      </c>
      <c r="D317" s="2">
        <v>2</v>
      </c>
      <c r="E317" s="2">
        <v>58</v>
      </c>
      <c r="F317" s="2">
        <v>1450</v>
      </c>
      <c r="G317" t="str">
        <f>_xlfn.XLOOKUP(C317,products!A:A,products!B:B)</f>
        <v>Watermelon</v>
      </c>
      <c r="H317" t="str">
        <f>_xlfn.XLOOKUP(D317,stores!A:A,stores!B:B)</f>
        <v>Ohrid</v>
      </c>
      <c r="I317" t="str">
        <f t="shared" si="8"/>
        <v>BIG</v>
      </c>
      <c r="J317" s="4" t="str">
        <f t="shared" si="9"/>
        <v>7</v>
      </c>
    </row>
    <row r="318" spans="1:10">
      <c r="A318" s="2">
        <v>317</v>
      </c>
      <c r="B318" s="3">
        <v>46226</v>
      </c>
      <c r="C318" s="2">
        <v>5</v>
      </c>
      <c r="D318" s="2">
        <v>1</v>
      </c>
      <c r="E318" s="2">
        <v>3.8</v>
      </c>
      <c r="F318" s="2">
        <v>418</v>
      </c>
      <c r="G318" t="str">
        <f>_xlfn.XLOOKUP(C318,products!A:A,products!B:B)</f>
        <v>Grapes</v>
      </c>
      <c r="H318" t="str">
        <f>_xlfn.XLOOKUP(D318,stores!A:A,stores!B:B)</f>
        <v>Bitola</v>
      </c>
      <c r="I318" t="str">
        <f t="shared" si="8"/>
        <v>NORMAL</v>
      </c>
      <c r="J318" s="4" t="str">
        <f t="shared" si="9"/>
        <v>7</v>
      </c>
    </row>
    <row r="319" spans="1:10">
      <c r="A319" s="2">
        <v>318</v>
      </c>
      <c r="B319" s="3">
        <v>46226</v>
      </c>
      <c r="C319" s="2">
        <v>5</v>
      </c>
      <c r="D319" s="2">
        <v>2</v>
      </c>
      <c r="E319" s="2">
        <v>8.1</v>
      </c>
      <c r="F319" s="2">
        <v>891</v>
      </c>
      <c r="G319" t="str">
        <f>_xlfn.XLOOKUP(C319,products!A:A,products!B:B)</f>
        <v>Grapes</v>
      </c>
      <c r="H319" t="str">
        <f>_xlfn.XLOOKUP(D319,stores!A:A,stores!B:B)</f>
        <v>Ohrid</v>
      </c>
      <c r="I319" t="str">
        <f t="shared" si="8"/>
        <v>NORMAL</v>
      </c>
      <c r="J319" s="4" t="str">
        <f t="shared" si="9"/>
        <v>7</v>
      </c>
    </row>
    <row r="320" spans="1:10">
      <c r="A320" s="2">
        <v>319</v>
      </c>
      <c r="B320" s="3">
        <v>46226</v>
      </c>
      <c r="C320" s="2">
        <v>6</v>
      </c>
      <c r="D320" s="2">
        <v>1</v>
      </c>
      <c r="E320" s="2">
        <v>10.1</v>
      </c>
      <c r="F320" s="2">
        <v>2222</v>
      </c>
      <c r="G320" t="str">
        <f>_xlfn.XLOOKUP(C320,products!A:A,products!B:B)</f>
        <v>Strawberry</v>
      </c>
      <c r="H320" t="str">
        <f>_xlfn.XLOOKUP(D320,stores!A:A,stores!B:B)</f>
        <v>Bitola</v>
      </c>
      <c r="I320" t="str">
        <f t="shared" si="8"/>
        <v>NORMAL</v>
      </c>
      <c r="J320" s="4" t="str">
        <f t="shared" si="9"/>
        <v>7</v>
      </c>
    </row>
    <row r="321" spans="1:10">
      <c r="A321" s="2">
        <v>320</v>
      </c>
      <c r="B321" s="3">
        <v>46226</v>
      </c>
      <c r="C321" s="2">
        <v>6</v>
      </c>
      <c r="D321" s="2">
        <v>2</v>
      </c>
      <c r="E321" s="2">
        <v>15.5</v>
      </c>
      <c r="F321" s="2">
        <v>3410</v>
      </c>
      <c r="G321" t="str">
        <f>_xlfn.XLOOKUP(C321,products!A:A,products!B:B)</f>
        <v>Strawberry</v>
      </c>
      <c r="H321" t="str">
        <f>_xlfn.XLOOKUP(D321,stores!A:A,stores!B:B)</f>
        <v>Ohrid</v>
      </c>
      <c r="I321" t="str">
        <f t="shared" si="8"/>
        <v>NORMAL</v>
      </c>
      <c r="J321" s="4" t="str">
        <f t="shared" si="9"/>
        <v>7</v>
      </c>
    </row>
    <row r="322" spans="1:10">
      <c r="A322" s="2">
        <v>321</v>
      </c>
      <c r="B322" s="3">
        <v>46226</v>
      </c>
      <c r="C322" s="2">
        <v>7</v>
      </c>
      <c r="D322" s="2">
        <v>1</v>
      </c>
      <c r="E322" s="2">
        <v>29.9</v>
      </c>
      <c r="F322" s="2">
        <v>2840</v>
      </c>
      <c r="G322" t="str">
        <f>_xlfn.XLOOKUP(C322,products!A:A,products!B:B)</f>
        <v>Peach</v>
      </c>
      <c r="H322" t="str">
        <f>_xlfn.XLOOKUP(D322,stores!A:A,stores!B:B)</f>
        <v>Bitola</v>
      </c>
      <c r="I322" t="str">
        <f t="shared" ref="I322:I385" si="10">IF(E322&gt;50,"BIG","NORMAL")</f>
        <v>NORMAL</v>
      </c>
      <c r="J322" s="4" t="str">
        <f t="shared" ref="J322:J385" si="11">TEXT(B322,"m")</f>
        <v>7</v>
      </c>
    </row>
    <row r="323" spans="1:10">
      <c r="A323" s="2">
        <v>322</v>
      </c>
      <c r="B323" s="3">
        <v>46226</v>
      </c>
      <c r="C323" s="2">
        <v>7</v>
      </c>
      <c r="D323" s="2">
        <v>2</v>
      </c>
      <c r="E323" s="2">
        <v>18.1</v>
      </c>
      <c r="F323" s="2">
        <v>1720</v>
      </c>
      <c r="G323" t="str">
        <f>_xlfn.XLOOKUP(C323,products!A:A,products!B:B)</f>
        <v>Peach</v>
      </c>
      <c r="H323" t="str">
        <f>_xlfn.XLOOKUP(D323,stores!A:A,stores!B:B)</f>
        <v>Ohrid</v>
      </c>
      <c r="I323" t="str">
        <f t="shared" si="10"/>
        <v>NORMAL</v>
      </c>
      <c r="J323" s="4" t="str">
        <f t="shared" si="11"/>
        <v>7</v>
      </c>
    </row>
    <row r="324" spans="1:10">
      <c r="A324" s="2">
        <v>323</v>
      </c>
      <c r="B324" s="3">
        <v>46227</v>
      </c>
      <c r="C324" s="2">
        <v>1</v>
      </c>
      <c r="D324" s="2">
        <v>1</v>
      </c>
      <c r="E324" s="2">
        <v>20.8</v>
      </c>
      <c r="F324" s="2">
        <v>1248</v>
      </c>
      <c r="G324" t="str">
        <f>_xlfn.XLOOKUP(C324,products!A:A,products!B:B)</f>
        <v>Apple</v>
      </c>
      <c r="H324" t="str">
        <f>_xlfn.XLOOKUP(D324,stores!A:A,stores!B:B)</f>
        <v>Bitola</v>
      </c>
      <c r="I324" t="str">
        <f t="shared" si="10"/>
        <v>NORMAL</v>
      </c>
      <c r="J324" s="4" t="str">
        <f t="shared" si="11"/>
        <v>7</v>
      </c>
    </row>
    <row r="325" spans="1:10">
      <c r="A325" s="2">
        <v>324</v>
      </c>
      <c r="B325" s="3">
        <v>46227</v>
      </c>
      <c r="C325" s="2">
        <v>1</v>
      </c>
      <c r="D325" s="2">
        <v>2</v>
      </c>
      <c r="E325" s="2">
        <v>15.5</v>
      </c>
      <c r="F325" s="2">
        <v>930</v>
      </c>
      <c r="G325" t="str">
        <f>_xlfn.XLOOKUP(C325,products!A:A,products!B:B)</f>
        <v>Apple</v>
      </c>
      <c r="H325" t="str">
        <f>_xlfn.XLOOKUP(D325,stores!A:A,stores!B:B)</f>
        <v>Ohrid</v>
      </c>
      <c r="I325" t="str">
        <f t="shared" si="10"/>
        <v>NORMAL</v>
      </c>
      <c r="J325" s="4" t="str">
        <f t="shared" si="11"/>
        <v>7</v>
      </c>
    </row>
    <row r="326" spans="1:10">
      <c r="A326" s="2">
        <v>325</v>
      </c>
      <c r="B326" s="3">
        <v>46227</v>
      </c>
      <c r="C326" s="2">
        <v>2</v>
      </c>
      <c r="D326" s="2">
        <v>1</v>
      </c>
      <c r="E326" s="2">
        <v>33.1</v>
      </c>
      <c r="F326" s="2">
        <v>2979</v>
      </c>
      <c r="G326" t="str">
        <f>_xlfn.XLOOKUP(C326,products!A:A,products!B:B)</f>
        <v>Banana</v>
      </c>
      <c r="H326" t="str">
        <f>_xlfn.XLOOKUP(D326,stores!A:A,stores!B:B)</f>
        <v>Bitola</v>
      </c>
      <c r="I326" t="str">
        <f t="shared" si="10"/>
        <v>NORMAL</v>
      </c>
      <c r="J326" s="4" t="str">
        <f t="shared" si="11"/>
        <v>7</v>
      </c>
    </row>
    <row r="327" spans="1:10">
      <c r="A327" s="2">
        <v>326</v>
      </c>
      <c r="B327" s="3">
        <v>46227</v>
      </c>
      <c r="C327" s="2">
        <v>2</v>
      </c>
      <c r="D327" s="2">
        <v>2</v>
      </c>
      <c r="E327" s="2">
        <v>36.8</v>
      </c>
      <c r="F327" s="2">
        <v>3312</v>
      </c>
      <c r="G327" t="str">
        <f>_xlfn.XLOOKUP(C327,products!A:A,products!B:B)</f>
        <v>Banana</v>
      </c>
      <c r="H327" t="str">
        <f>_xlfn.XLOOKUP(D327,stores!A:A,stores!B:B)</f>
        <v>Ohrid</v>
      </c>
      <c r="I327" t="str">
        <f t="shared" si="10"/>
        <v>NORMAL</v>
      </c>
      <c r="J327" s="4" t="str">
        <f t="shared" si="11"/>
        <v>7</v>
      </c>
    </row>
    <row r="328" spans="1:10">
      <c r="A328" s="2">
        <v>327</v>
      </c>
      <c r="B328" s="3">
        <v>46227</v>
      </c>
      <c r="C328" s="2">
        <v>3</v>
      </c>
      <c r="D328" s="2">
        <v>1</v>
      </c>
      <c r="E328" s="2">
        <v>7.7</v>
      </c>
      <c r="F328" s="2">
        <v>616</v>
      </c>
      <c r="G328" t="str">
        <f>_xlfn.XLOOKUP(C328,products!A:A,products!B:B)</f>
        <v>Orange</v>
      </c>
      <c r="H328" t="str">
        <f>_xlfn.XLOOKUP(D328,stores!A:A,stores!B:B)</f>
        <v>Bitola</v>
      </c>
      <c r="I328" t="str">
        <f t="shared" si="10"/>
        <v>NORMAL</v>
      </c>
      <c r="J328" s="4" t="str">
        <f t="shared" si="11"/>
        <v>7</v>
      </c>
    </row>
    <row r="329" spans="1:10">
      <c r="A329" s="2">
        <v>328</v>
      </c>
      <c r="B329" s="3">
        <v>46227</v>
      </c>
      <c r="C329" s="2">
        <v>3</v>
      </c>
      <c r="D329" s="2">
        <v>2</v>
      </c>
      <c r="E329" s="2">
        <v>19.6</v>
      </c>
      <c r="F329" s="2">
        <v>1568</v>
      </c>
      <c r="G329" t="str">
        <f>_xlfn.XLOOKUP(C329,products!A:A,products!B:B)</f>
        <v>Orange</v>
      </c>
      <c r="H329" t="str">
        <f>_xlfn.XLOOKUP(D329,stores!A:A,stores!B:B)</f>
        <v>Ohrid</v>
      </c>
      <c r="I329" t="str">
        <f t="shared" si="10"/>
        <v>NORMAL</v>
      </c>
      <c r="J329" s="4" t="str">
        <f t="shared" si="11"/>
        <v>7</v>
      </c>
    </row>
    <row r="330" spans="1:10">
      <c r="A330" s="2">
        <v>329</v>
      </c>
      <c r="B330" s="3">
        <v>46227</v>
      </c>
      <c r="C330" s="2">
        <v>4</v>
      </c>
      <c r="D330" s="2">
        <v>1</v>
      </c>
      <c r="E330" s="2">
        <v>79</v>
      </c>
      <c r="F330" s="2">
        <v>1975</v>
      </c>
      <c r="G330" t="str">
        <f>_xlfn.XLOOKUP(C330,products!A:A,products!B:B)</f>
        <v>Watermelon</v>
      </c>
      <c r="H330" t="str">
        <f>_xlfn.XLOOKUP(D330,stores!A:A,stores!B:B)</f>
        <v>Bitola</v>
      </c>
      <c r="I330" t="str">
        <f t="shared" si="10"/>
        <v>BIG</v>
      </c>
      <c r="J330" s="4" t="str">
        <f t="shared" si="11"/>
        <v>7</v>
      </c>
    </row>
    <row r="331" spans="1:10">
      <c r="A331" s="2">
        <v>330</v>
      </c>
      <c r="B331" s="3">
        <v>46227</v>
      </c>
      <c r="C331" s="2">
        <v>4</v>
      </c>
      <c r="D331" s="2">
        <v>2</v>
      </c>
      <c r="E331" s="2">
        <v>60.9</v>
      </c>
      <c r="F331" s="2">
        <v>1522</v>
      </c>
      <c r="G331" t="str">
        <f>_xlfn.XLOOKUP(C331,products!A:A,products!B:B)</f>
        <v>Watermelon</v>
      </c>
      <c r="H331" t="str">
        <f>_xlfn.XLOOKUP(D331,stores!A:A,stores!B:B)</f>
        <v>Ohrid</v>
      </c>
      <c r="I331" t="str">
        <f t="shared" si="10"/>
        <v>BIG</v>
      </c>
      <c r="J331" s="4" t="str">
        <f t="shared" si="11"/>
        <v>7</v>
      </c>
    </row>
    <row r="332" spans="1:10">
      <c r="A332" s="2">
        <v>331</v>
      </c>
      <c r="B332" s="3">
        <v>46227</v>
      </c>
      <c r="C332" s="2">
        <v>5</v>
      </c>
      <c r="D332" s="2">
        <v>1</v>
      </c>
      <c r="E332" s="2">
        <v>5.3</v>
      </c>
      <c r="F332" s="2">
        <v>583</v>
      </c>
      <c r="G332" t="str">
        <f>_xlfn.XLOOKUP(C332,products!A:A,products!B:B)</f>
        <v>Grapes</v>
      </c>
      <c r="H332" t="str">
        <f>_xlfn.XLOOKUP(D332,stores!A:A,stores!B:B)</f>
        <v>Bitola</v>
      </c>
      <c r="I332" t="str">
        <f t="shared" si="10"/>
        <v>NORMAL</v>
      </c>
      <c r="J332" s="4" t="str">
        <f t="shared" si="11"/>
        <v>7</v>
      </c>
    </row>
    <row r="333" spans="1:10">
      <c r="A333" s="2">
        <v>332</v>
      </c>
      <c r="B333" s="3">
        <v>46227</v>
      </c>
      <c r="C333" s="2">
        <v>5</v>
      </c>
      <c r="D333" s="2">
        <v>2</v>
      </c>
      <c r="E333" s="2">
        <v>6</v>
      </c>
      <c r="F333" s="2">
        <v>660</v>
      </c>
      <c r="G333" t="str">
        <f>_xlfn.XLOOKUP(C333,products!A:A,products!B:B)</f>
        <v>Grapes</v>
      </c>
      <c r="H333" t="str">
        <f>_xlfn.XLOOKUP(D333,stores!A:A,stores!B:B)</f>
        <v>Ohrid</v>
      </c>
      <c r="I333" t="str">
        <f t="shared" si="10"/>
        <v>NORMAL</v>
      </c>
      <c r="J333" s="4" t="str">
        <f t="shared" si="11"/>
        <v>7</v>
      </c>
    </row>
    <row r="334" spans="1:10">
      <c r="A334" s="2">
        <v>333</v>
      </c>
      <c r="B334" s="3">
        <v>46227</v>
      </c>
      <c r="C334" s="2">
        <v>6</v>
      </c>
      <c r="D334" s="2">
        <v>1</v>
      </c>
      <c r="E334" s="2">
        <v>8.2</v>
      </c>
      <c r="F334" s="2">
        <v>1804</v>
      </c>
      <c r="G334" t="str">
        <f>_xlfn.XLOOKUP(C334,products!A:A,products!B:B)</f>
        <v>Strawberry</v>
      </c>
      <c r="H334" t="str">
        <f>_xlfn.XLOOKUP(D334,stores!A:A,stores!B:B)</f>
        <v>Bitola</v>
      </c>
      <c r="I334" t="str">
        <f t="shared" si="10"/>
        <v>NORMAL</v>
      </c>
      <c r="J334" s="4" t="str">
        <f t="shared" si="11"/>
        <v>7</v>
      </c>
    </row>
    <row r="335" spans="1:10">
      <c r="A335" s="2">
        <v>334</v>
      </c>
      <c r="B335" s="3">
        <v>46227</v>
      </c>
      <c r="C335" s="2">
        <v>6</v>
      </c>
      <c r="D335" s="2">
        <v>2</v>
      </c>
      <c r="E335" s="2">
        <v>10.2</v>
      </c>
      <c r="F335" s="2">
        <v>2244</v>
      </c>
      <c r="G335" t="str">
        <f>_xlfn.XLOOKUP(C335,products!A:A,products!B:B)</f>
        <v>Strawberry</v>
      </c>
      <c r="H335" t="str">
        <f>_xlfn.XLOOKUP(D335,stores!A:A,stores!B:B)</f>
        <v>Ohrid</v>
      </c>
      <c r="I335" t="str">
        <f t="shared" si="10"/>
        <v>NORMAL</v>
      </c>
      <c r="J335" s="4" t="str">
        <f t="shared" si="11"/>
        <v>7</v>
      </c>
    </row>
    <row r="336" spans="1:10">
      <c r="A336" s="2">
        <v>335</v>
      </c>
      <c r="B336" s="3">
        <v>46227</v>
      </c>
      <c r="C336" s="2">
        <v>7</v>
      </c>
      <c r="D336" s="2">
        <v>1</v>
      </c>
      <c r="E336" s="2">
        <v>28</v>
      </c>
      <c r="F336" s="2">
        <v>2660</v>
      </c>
      <c r="G336" t="str">
        <f>_xlfn.XLOOKUP(C336,products!A:A,products!B:B)</f>
        <v>Peach</v>
      </c>
      <c r="H336" t="str">
        <f>_xlfn.XLOOKUP(D336,stores!A:A,stores!B:B)</f>
        <v>Bitola</v>
      </c>
      <c r="I336" t="str">
        <f t="shared" si="10"/>
        <v>NORMAL</v>
      </c>
      <c r="J336" s="4" t="str">
        <f t="shared" si="11"/>
        <v>7</v>
      </c>
    </row>
    <row r="337" spans="1:10">
      <c r="A337" s="2">
        <v>336</v>
      </c>
      <c r="B337" s="3">
        <v>46227</v>
      </c>
      <c r="C337" s="2">
        <v>7</v>
      </c>
      <c r="D337" s="2">
        <v>2</v>
      </c>
      <c r="E337" s="2">
        <v>22</v>
      </c>
      <c r="F337" s="2">
        <v>2090</v>
      </c>
      <c r="G337" t="str">
        <f>_xlfn.XLOOKUP(C337,products!A:A,products!B:B)</f>
        <v>Peach</v>
      </c>
      <c r="H337" t="str">
        <f>_xlfn.XLOOKUP(D337,stores!A:A,stores!B:B)</f>
        <v>Ohrid</v>
      </c>
      <c r="I337" t="str">
        <f t="shared" si="10"/>
        <v>NORMAL</v>
      </c>
      <c r="J337" s="4" t="str">
        <f t="shared" si="11"/>
        <v>7</v>
      </c>
    </row>
    <row r="338" spans="1:10">
      <c r="A338" s="2">
        <v>337</v>
      </c>
      <c r="B338" s="3">
        <v>46228</v>
      </c>
      <c r="C338" s="2">
        <v>1</v>
      </c>
      <c r="D338" s="2">
        <v>1</v>
      </c>
      <c r="E338" s="2">
        <v>23.9</v>
      </c>
      <c r="F338" s="2">
        <v>1434</v>
      </c>
      <c r="G338" t="str">
        <f>_xlfn.XLOOKUP(C338,products!A:A,products!B:B)</f>
        <v>Apple</v>
      </c>
      <c r="H338" t="str">
        <f>_xlfn.XLOOKUP(D338,stores!A:A,stores!B:B)</f>
        <v>Bitola</v>
      </c>
      <c r="I338" t="str">
        <f t="shared" si="10"/>
        <v>NORMAL</v>
      </c>
      <c r="J338" s="4" t="str">
        <f t="shared" si="11"/>
        <v>7</v>
      </c>
    </row>
    <row r="339" spans="1:10">
      <c r="A339" s="2">
        <v>338</v>
      </c>
      <c r="B339" s="3">
        <v>46228</v>
      </c>
      <c r="C339" s="2">
        <v>1</v>
      </c>
      <c r="D339" s="2">
        <v>2</v>
      </c>
      <c r="E339" s="2">
        <v>42.9</v>
      </c>
      <c r="F339" s="2">
        <v>2574</v>
      </c>
      <c r="G339" t="str">
        <f>_xlfn.XLOOKUP(C339,products!A:A,products!B:B)</f>
        <v>Apple</v>
      </c>
      <c r="H339" t="str">
        <f>_xlfn.XLOOKUP(D339,stores!A:A,stores!B:B)</f>
        <v>Ohrid</v>
      </c>
      <c r="I339" t="str">
        <f t="shared" si="10"/>
        <v>NORMAL</v>
      </c>
      <c r="J339" s="4" t="str">
        <f t="shared" si="11"/>
        <v>7</v>
      </c>
    </row>
    <row r="340" spans="1:10">
      <c r="A340" s="2">
        <v>339</v>
      </c>
      <c r="B340" s="3">
        <v>46228</v>
      </c>
      <c r="C340" s="2">
        <v>2</v>
      </c>
      <c r="D340" s="2">
        <v>1</v>
      </c>
      <c r="E340" s="2">
        <v>26.1</v>
      </c>
      <c r="F340" s="2">
        <v>2349</v>
      </c>
      <c r="G340" t="str">
        <f>_xlfn.XLOOKUP(C340,products!A:A,products!B:B)</f>
        <v>Banana</v>
      </c>
      <c r="H340" t="str">
        <f>_xlfn.XLOOKUP(D340,stores!A:A,stores!B:B)</f>
        <v>Bitola</v>
      </c>
      <c r="I340" t="str">
        <f t="shared" si="10"/>
        <v>NORMAL</v>
      </c>
      <c r="J340" s="4" t="str">
        <f t="shared" si="11"/>
        <v>7</v>
      </c>
    </row>
    <row r="341" spans="1:10">
      <c r="A341" s="2">
        <v>340</v>
      </c>
      <c r="B341" s="3">
        <v>46228</v>
      </c>
      <c r="C341" s="2">
        <v>2</v>
      </c>
      <c r="D341" s="2">
        <v>2</v>
      </c>
      <c r="E341" s="2">
        <v>45.6</v>
      </c>
      <c r="F341" s="2">
        <v>4104</v>
      </c>
      <c r="G341" t="str">
        <f>_xlfn.XLOOKUP(C341,products!A:A,products!B:B)</f>
        <v>Banana</v>
      </c>
      <c r="H341" t="str">
        <f>_xlfn.XLOOKUP(D341,stores!A:A,stores!B:B)</f>
        <v>Ohrid</v>
      </c>
      <c r="I341" t="str">
        <f t="shared" si="10"/>
        <v>NORMAL</v>
      </c>
      <c r="J341" s="4" t="str">
        <f t="shared" si="11"/>
        <v>7</v>
      </c>
    </row>
    <row r="342" spans="1:10">
      <c r="A342" s="2">
        <v>341</v>
      </c>
      <c r="B342" s="3">
        <v>46228</v>
      </c>
      <c r="C342" s="2">
        <v>3</v>
      </c>
      <c r="D342" s="2">
        <v>1</v>
      </c>
      <c r="E342" s="2">
        <v>13</v>
      </c>
      <c r="F342" s="2">
        <v>1040</v>
      </c>
      <c r="G342" t="str">
        <f>_xlfn.XLOOKUP(C342,products!A:A,products!B:B)</f>
        <v>Orange</v>
      </c>
      <c r="H342" t="str">
        <f>_xlfn.XLOOKUP(D342,stores!A:A,stores!B:B)</f>
        <v>Bitola</v>
      </c>
      <c r="I342" t="str">
        <f t="shared" si="10"/>
        <v>NORMAL</v>
      </c>
      <c r="J342" s="4" t="str">
        <f t="shared" si="11"/>
        <v>7</v>
      </c>
    </row>
    <row r="343" spans="1:10">
      <c r="A343" s="2">
        <v>342</v>
      </c>
      <c r="B343" s="3">
        <v>46228</v>
      </c>
      <c r="C343" s="2">
        <v>3</v>
      </c>
      <c r="D343" s="2">
        <v>2</v>
      </c>
      <c r="E343" s="2">
        <v>15.1</v>
      </c>
      <c r="F343" s="2">
        <v>1208</v>
      </c>
      <c r="G343" t="str">
        <f>_xlfn.XLOOKUP(C343,products!A:A,products!B:B)</f>
        <v>Orange</v>
      </c>
      <c r="H343" t="str">
        <f>_xlfn.XLOOKUP(D343,stores!A:A,stores!B:B)</f>
        <v>Ohrid</v>
      </c>
      <c r="I343" t="str">
        <f t="shared" si="10"/>
        <v>NORMAL</v>
      </c>
      <c r="J343" s="4" t="str">
        <f t="shared" si="11"/>
        <v>7</v>
      </c>
    </row>
    <row r="344" spans="1:10">
      <c r="A344" s="2">
        <v>343</v>
      </c>
      <c r="B344" s="3">
        <v>46228</v>
      </c>
      <c r="C344" s="2">
        <v>4</v>
      </c>
      <c r="D344" s="2">
        <v>1</v>
      </c>
      <c r="E344" s="2">
        <v>98.8</v>
      </c>
      <c r="F344" s="2">
        <v>2470</v>
      </c>
      <c r="G344" t="str">
        <f>_xlfn.XLOOKUP(C344,products!A:A,products!B:B)</f>
        <v>Watermelon</v>
      </c>
      <c r="H344" t="str">
        <f>_xlfn.XLOOKUP(D344,stores!A:A,stores!B:B)</f>
        <v>Bitola</v>
      </c>
      <c r="I344" t="str">
        <f t="shared" si="10"/>
        <v>BIG</v>
      </c>
      <c r="J344" s="4" t="str">
        <f t="shared" si="11"/>
        <v>7</v>
      </c>
    </row>
    <row r="345" spans="1:10">
      <c r="A345" s="2">
        <v>344</v>
      </c>
      <c r="B345" s="3">
        <v>46228</v>
      </c>
      <c r="C345" s="2">
        <v>4</v>
      </c>
      <c r="D345" s="2">
        <v>2</v>
      </c>
      <c r="E345" s="2">
        <v>124.9</v>
      </c>
      <c r="F345" s="2">
        <v>3122</v>
      </c>
      <c r="G345" t="str">
        <f>_xlfn.XLOOKUP(C345,products!A:A,products!B:B)</f>
        <v>Watermelon</v>
      </c>
      <c r="H345" t="str">
        <f>_xlfn.XLOOKUP(D345,stores!A:A,stores!B:B)</f>
        <v>Ohrid</v>
      </c>
      <c r="I345" t="str">
        <f t="shared" si="10"/>
        <v>BIG</v>
      </c>
      <c r="J345" s="4" t="str">
        <f t="shared" si="11"/>
        <v>7</v>
      </c>
    </row>
    <row r="346" spans="1:10">
      <c r="A346" s="2">
        <v>345</v>
      </c>
      <c r="B346" s="3">
        <v>46228</v>
      </c>
      <c r="C346" s="2">
        <v>5</v>
      </c>
      <c r="D346" s="2">
        <v>1</v>
      </c>
      <c r="E346" s="2">
        <v>5.1</v>
      </c>
      <c r="F346" s="2">
        <v>561</v>
      </c>
      <c r="G346" t="str">
        <f>_xlfn.XLOOKUP(C346,products!A:A,products!B:B)</f>
        <v>Grapes</v>
      </c>
      <c r="H346" t="str">
        <f>_xlfn.XLOOKUP(D346,stores!A:A,stores!B:B)</f>
        <v>Bitola</v>
      </c>
      <c r="I346" t="str">
        <f t="shared" si="10"/>
        <v>NORMAL</v>
      </c>
      <c r="J346" s="4" t="str">
        <f t="shared" si="11"/>
        <v>7</v>
      </c>
    </row>
    <row r="347" spans="1:10">
      <c r="A347" s="2">
        <v>346</v>
      </c>
      <c r="B347" s="3">
        <v>46228</v>
      </c>
      <c r="C347" s="2">
        <v>5</v>
      </c>
      <c r="D347" s="2">
        <v>2</v>
      </c>
      <c r="E347" s="2">
        <v>11.8</v>
      </c>
      <c r="F347" s="2">
        <v>1298</v>
      </c>
      <c r="G347" t="str">
        <f>_xlfn.XLOOKUP(C347,products!A:A,products!B:B)</f>
        <v>Grapes</v>
      </c>
      <c r="H347" t="str">
        <f>_xlfn.XLOOKUP(D347,stores!A:A,stores!B:B)</f>
        <v>Ohrid</v>
      </c>
      <c r="I347" t="str">
        <f t="shared" si="10"/>
        <v>NORMAL</v>
      </c>
      <c r="J347" s="4" t="str">
        <f t="shared" si="11"/>
        <v>7</v>
      </c>
    </row>
    <row r="348" spans="1:10">
      <c r="A348" s="2">
        <v>347</v>
      </c>
      <c r="B348" s="3">
        <v>46228</v>
      </c>
      <c r="C348" s="2">
        <v>6</v>
      </c>
      <c r="D348" s="2">
        <v>1</v>
      </c>
      <c r="E348" s="2">
        <v>11.6</v>
      </c>
      <c r="F348" s="2">
        <v>2552</v>
      </c>
      <c r="G348" t="str">
        <f>_xlfn.XLOOKUP(C348,products!A:A,products!B:B)</f>
        <v>Strawberry</v>
      </c>
      <c r="H348" t="str">
        <f>_xlfn.XLOOKUP(D348,stores!A:A,stores!B:B)</f>
        <v>Bitola</v>
      </c>
      <c r="I348" t="str">
        <f t="shared" si="10"/>
        <v>NORMAL</v>
      </c>
      <c r="J348" s="4" t="str">
        <f t="shared" si="11"/>
        <v>7</v>
      </c>
    </row>
    <row r="349" spans="1:10">
      <c r="A349" s="2">
        <v>348</v>
      </c>
      <c r="B349" s="3">
        <v>46228</v>
      </c>
      <c r="C349" s="2">
        <v>6</v>
      </c>
      <c r="D349" s="2">
        <v>2</v>
      </c>
      <c r="E349" s="2">
        <v>13.5</v>
      </c>
      <c r="F349" s="2">
        <v>2970</v>
      </c>
      <c r="G349" t="str">
        <f>_xlfn.XLOOKUP(C349,products!A:A,products!B:B)</f>
        <v>Strawberry</v>
      </c>
      <c r="H349" t="str">
        <f>_xlfn.XLOOKUP(D349,stores!A:A,stores!B:B)</f>
        <v>Ohrid</v>
      </c>
      <c r="I349" t="str">
        <f t="shared" si="10"/>
        <v>NORMAL</v>
      </c>
      <c r="J349" s="4" t="str">
        <f t="shared" si="11"/>
        <v>7</v>
      </c>
    </row>
    <row r="350" spans="1:10">
      <c r="A350" s="2">
        <v>349</v>
      </c>
      <c r="B350" s="3">
        <v>46228</v>
      </c>
      <c r="C350" s="2">
        <v>7</v>
      </c>
      <c r="D350" s="2">
        <v>1</v>
      </c>
      <c r="E350" s="2">
        <v>24</v>
      </c>
      <c r="F350" s="2">
        <v>2280</v>
      </c>
      <c r="G350" t="str">
        <f>_xlfn.XLOOKUP(C350,products!A:A,products!B:B)</f>
        <v>Peach</v>
      </c>
      <c r="H350" t="str">
        <f>_xlfn.XLOOKUP(D350,stores!A:A,stores!B:B)</f>
        <v>Bitola</v>
      </c>
      <c r="I350" t="str">
        <f t="shared" si="10"/>
        <v>NORMAL</v>
      </c>
      <c r="J350" s="4" t="str">
        <f t="shared" si="11"/>
        <v>7</v>
      </c>
    </row>
    <row r="351" spans="1:10">
      <c r="A351" s="2">
        <v>350</v>
      </c>
      <c r="B351" s="3">
        <v>46228</v>
      </c>
      <c r="C351" s="2">
        <v>7</v>
      </c>
      <c r="D351" s="2">
        <v>2</v>
      </c>
      <c r="E351" s="2">
        <v>32.5</v>
      </c>
      <c r="F351" s="2">
        <v>3088</v>
      </c>
      <c r="G351" t="str">
        <f>_xlfn.XLOOKUP(C351,products!A:A,products!B:B)</f>
        <v>Peach</v>
      </c>
      <c r="H351" t="str">
        <f>_xlfn.XLOOKUP(D351,stores!A:A,stores!B:B)</f>
        <v>Ohrid</v>
      </c>
      <c r="I351" t="str">
        <f t="shared" si="10"/>
        <v>NORMAL</v>
      </c>
      <c r="J351" s="4" t="str">
        <f t="shared" si="11"/>
        <v>7</v>
      </c>
    </row>
    <row r="352" spans="1:10">
      <c r="A352" s="2">
        <v>351</v>
      </c>
      <c r="B352" s="3">
        <v>46229</v>
      </c>
      <c r="C352" s="2">
        <v>1</v>
      </c>
      <c r="D352" s="2">
        <v>1</v>
      </c>
      <c r="E352" s="2">
        <v>28</v>
      </c>
      <c r="F352" s="2">
        <v>1680</v>
      </c>
      <c r="G352" t="str">
        <f>_xlfn.XLOOKUP(C352,products!A:A,products!B:B)</f>
        <v>Apple</v>
      </c>
      <c r="H352" t="str">
        <f>_xlfn.XLOOKUP(D352,stores!A:A,stores!B:B)</f>
        <v>Bitola</v>
      </c>
      <c r="I352" t="str">
        <f t="shared" si="10"/>
        <v>NORMAL</v>
      </c>
      <c r="J352" s="4" t="str">
        <f t="shared" si="11"/>
        <v>7</v>
      </c>
    </row>
    <row r="353" spans="1:10">
      <c r="A353" s="2">
        <v>352</v>
      </c>
      <c r="B353" s="3">
        <v>46229</v>
      </c>
      <c r="C353" s="2">
        <v>1</v>
      </c>
      <c r="D353" s="2">
        <v>2</v>
      </c>
      <c r="E353" s="2">
        <v>30.6</v>
      </c>
      <c r="F353" s="2">
        <v>1836</v>
      </c>
      <c r="G353" t="str">
        <f>_xlfn.XLOOKUP(C353,products!A:A,products!B:B)</f>
        <v>Apple</v>
      </c>
      <c r="H353" t="str">
        <f>_xlfn.XLOOKUP(D353,stores!A:A,stores!B:B)</f>
        <v>Ohrid</v>
      </c>
      <c r="I353" t="str">
        <f t="shared" si="10"/>
        <v>NORMAL</v>
      </c>
      <c r="J353" s="4" t="str">
        <f t="shared" si="11"/>
        <v>7</v>
      </c>
    </row>
    <row r="354" spans="1:10">
      <c r="A354" s="2">
        <v>353</v>
      </c>
      <c r="B354" s="3">
        <v>46229</v>
      </c>
      <c r="C354" s="2">
        <v>2</v>
      </c>
      <c r="D354" s="2">
        <v>1</v>
      </c>
      <c r="E354" s="2">
        <v>34.1</v>
      </c>
      <c r="F354" s="2">
        <v>3069</v>
      </c>
      <c r="G354" t="str">
        <f>_xlfn.XLOOKUP(C354,products!A:A,products!B:B)</f>
        <v>Banana</v>
      </c>
      <c r="H354" t="str">
        <f>_xlfn.XLOOKUP(D354,stores!A:A,stores!B:B)</f>
        <v>Bitola</v>
      </c>
      <c r="I354" t="str">
        <f t="shared" si="10"/>
        <v>NORMAL</v>
      </c>
      <c r="J354" s="4" t="str">
        <f t="shared" si="11"/>
        <v>7</v>
      </c>
    </row>
    <row r="355" spans="1:10">
      <c r="A355" s="2">
        <v>354</v>
      </c>
      <c r="B355" s="3">
        <v>46229</v>
      </c>
      <c r="C355" s="2">
        <v>2</v>
      </c>
      <c r="D355" s="2">
        <v>2</v>
      </c>
      <c r="E355" s="2">
        <v>42.1</v>
      </c>
      <c r="F355" s="2">
        <v>3789</v>
      </c>
      <c r="G355" t="str">
        <f>_xlfn.XLOOKUP(C355,products!A:A,products!B:B)</f>
        <v>Banana</v>
      </c>
      <c r="H355" t="str">
        <f>_xlfn.XLOOKUP(D355,stores!A:A,stores!B:B)</f>
        <v>Ohrid</v>
      </c>
      <c r="I355" t="str">
        <f t="shared" si="10"/>
        <v>NORMAL</v>
      </c>
      <c r="J355" s="4" t="str">
        <f t="shared" si="11"/>
        <v>7</v>
      </c>
    </row>
    <row r="356" spans="1:10">
      <c r="A356" s="2">
        <v>355</v>
      </c>
      <c r="B356" s="3">
        <v>46229</v>
      </c>
      <c r="C356" s="2">
        <v>3</v>
      </c>
      <c r="D356" s="2">
        <v>1</v>
      </c>
      <c r="E356" s="2">
        <v>14</v>
      </c>
      <c r="F356" s="2">
        <v>1120</v>
      </c>
      <c r="G356" t="str">
        <f>_xlfn.XLOOKUP(C356,products!A:A,products!B:B)</f>
        <v>Orange</v>
      </c>
      <c r="H356" t="str">
        <f>_xlfn.XLOOKUP(D356,stores!A:A,stores!B:B)</f>
        <v>Bitola</v>
      </c>
      <c r="I356" t="str">
        <f t="shared" si="10"/>
        <v>NORMAL</v>
      </c>
      <c r="J356" s="4" t="str">
        <f t="shared" si="11"/>
        <v>7</v>
      </c>
    </row>
    <row r="357" spans="1:10">
      <c r="A357" s="2">
        <v>356</v>
      </c>
      <c r="B357" s="3">
        <v>46229</v>
      </c>
      <c r="C357" s="2">
        <v>3</v>
      </c>
      <c r="D357" s="2">
        <v>2</v>
      </c>
      <c r="E357" s="2">
        <v>17.1</v>
      </c>
      <c r="F357" s="2">
        <v>1368</v>
      </c>
      <c r="G357" t="str">
        <f>_xlfn.XLOOKUP(C357,products!A:A,products!B:B)</f>
        <v>Orange</v>
      </c>
      <c r="H357" t="str">
        <f>_xlfn.XLOOKUP(D357,stores!A:A,stores!B:B)</f>
        <v>Ohrid</v>
      </c>
      <c r="I357" t="str">
        <f t="shared" si="10"/>
        <v>NORMAL</v>
      </c>
      <c r="J357" s="4" t="str">
        <f t="shared" si="11"/>
        <v>7</v>
      </c>
    </row>
    <row r="358" spans="1:10">
      <c r="A358" s="2">
        <v>357</v>
      </c>
      <c r="B358" s="3">
        <v>46229</v>
      </c>
      <c r="C358" s="2">
        <v>4</v>
      </c>
      <c r="D358" s="2">
        <v>1</v>
      </c>
      <c r="E358" s="2">
        <v>100.9</v>
      </c>
      <c r="F358" s="2">
        <v>2522</v>
      </c>
      <c r="G358" t="str">
        <f>_xlfn.XLOOKUP(C358,products!A:A,products!B:B)</f>
        <v>Watermelon</v>
      </c>
      <c r="H358" t="str">
        <f>_xlfn.XLOOKUP(D358,stores!A:A,stores!B:B)</f>
        <v>Bitola</v>
      </c>
      <c r="I358" t="str">
        <f t="shared" si="10"/>
        <v>BIG</v>
      </c>
      <c r="J358" s="4" t="str">
        <f t="shared" si="11"/>
        <v>7</v>
      </c>
    </row>
    <row r="359" spans="1:10">
      <c r="A359" s="2">
        <v>358</v>
      </c>
      <c r="B359" s="3">
        <v>46229</v>
      </c>
      <c r="C359" s="2">
        <v>4</v>
      </c>
      <c r="D359" s="2">
        <v>2</v>
      </c>
      <c r="E359" s="2">
        <v>118</v>
      </c>
      <c r="F359" s="2">
        <v>2950</v>
      </c>
      <c r="G359" t="str">
        <f>_xlfn.XLOOKUP(C359,products!A:A,products!B:B)</f>
        <v>Watermelon</v>
      </c>
      <c r="H359" t="str">
        <f>_xlfn.XLOOKUP(D359,stores!A:A,stores!B:B)</f>
        <v>Ohrid</v>
      </c>
      <c r="I359" t="str">
        <f t="shared" si="10"/>
        <v>BIG</v>
      </c>
      <c r="J359" s="4" t="str">
        <f t="shared" si="11"/>
        <v>7</v>
      </c>
    </row>
    <row r="360" spans="1:10">
      <c r="A360" s="2">
        <v>359</v>
      </c>
      <c r="B360" s="3">
        <v>46229</v>
      </c>
      <c r="C360" s="2">
        <v>5</v>
      </c>
      <c r="D360" s="2">
        <v>1</v>
      </c>
      <c r="E360" s="2">
        <v>7.3</v>
      </c>
      <c r="F360" s="2">
        <v>803</v>
      </c>
      <c r="G360" t="str">
        <f>_xlfn.XLOOKUP(C360,products!A:A,products!B:B)</f>
        <v>Grapes</v>
      </c>
      <c r="H360" t="str">
        <f>_xlfn.XLOOKUP(D360,stores!A:A,stores!B:B)</f>
        <v>Bitola</v>
      </c>
      <c r="I360" t="str">
        <f t="shared" si="10"/>
        <v>NORMAL</v>
      </c>
      <c r="J360" s="4" t="str">
        <f t="shared" si="11"/>
        <v>7</v>
      </c>
    </row>
    <row r="361" spans="1:10">
      <c r="A361" s="2">
        <v>360</v>
      </c>
      <c r="B361" s="3">
        <v>46229</v>
      </c>
      <c r="C361" s="2">
        <v>5</v>
      </c>
      <c r="D361" s="2">
        <v>2</v>
      </c>
      <c r="E361" s="2">
        <v>9.9</v>
      </c>
      <c r="F361" s="2">
        <v>1089</v>
      </c>
      <c r="G361" t="str">
        <f>_xlfn.XLOOKUP(C361,products!A:A,products!B:B)</f>
        <v>Grapes</v>
      </c>
      <c r="H361" t="str">
        <f>_xlfn.XLOOKUP(D361,stores!A:A,stores!B:B)</f>
        <v>Ohrid</v>
      </c>
      <c r="I361" t="str">
        <f t="shared" si="10"/>
        <v>NORMAL</v>
      </c>
      <c r="J361" s="4" t="str">
        <f t="shared" si="11"/>
        <v>7</v>
      </c>
    </row>
    <row r="362" spans="1:10">
      <c r="A362" s="2">
        <v>361</v>
      </c>
      <c r="B362" s="3">
        <v>46229</v>
      </c>
      <c r="C362" s="2">
        <v>6</v>
      </c>
      <c r="D362" s="2">
        <v>1</v>
      </c>
      <c r="E362" s="2">
        <v>9.8</v>
      </c>
      <c r="F362" s="2">
        <v>2156</v>
      </c>
      <c r="G362" t="str">
        <f>_xlfn.XLOOKUP(C362,products!A:A,products!B:B)</f>
        <v>Strawberry</v>
      </c>
      <c r="H362" t="str">
        <f>_xlfn.XLOOKUP(D362,stores!A:A,stores!B:B)</f>
        <v>Bitola</v>
      </c>
      <c r="I362" t="str">
        <f t="shared" si="10"/>
        <v>NORMAL</v>
      </c>
      <c r="J362" s="4" t="str">
        <f t="shared" si="11"/>
        <v>7</v>
      </c>
    </row>
    <row r="363" spans="1:10">
      <c r="A363" s="2">
        <v>362</v>
      </c>
      <c r="B363" s="3">
        <v>46229</v>
      </c>
      <c r="C363" s="2">
        <v>6</v>
      </c>
      <c r="D363" s="2">
        <v>2</v>
      </c>
      <c r="E363" s="2">
        <v>11.6</v>
      </c>
      <c r="F363" s="2">
        <v>2552</v>
      </c>
      <c r="G363" t="str">
        <f>_xlfn.XLOOKUP(C363,products!A:A,products!B:B)</f>
        <v>Strawberry</v>
      </c>
      <c r="H363" t="str">
        <f>_xlfn.XLOOKUP(D363,stores!A:A,stores!B:B)</f>
        <v>Ohrid</v>
      </c>
      <c r="I363" t="str">
        <f t="shared" si="10"/>
        <v>NORMAL</v>
      </c>
      <c r="J363" s="4" t="str">
        <f t="shared" si="11"/>
        <v>7</v>
      </c>
    </row>
    <row r="364" spans="1:10">
      <c r="A364" s="2">
        <v>363</v>
      </c>
      <c r="B364" s="3">
        <v>46229</v>
      </c>
      <c r="C364" s="2">
        <v>7</v>
      </c>
      <c r="D364" s="2">
        <v>1</v>
      </c>
      <c r="E364" s="2">
        <v>22.3</v>
      </c>
      <c r="F364" s="2">
        <v>2118</v>
      </c>
      <c r="G364" t="str">
        <f>_xlfn.XLOOKUP(C364,products!A:A,products!B:B)</f>
        <v>Peach</v>
      </c>
      <c r="H364" t="str">
        <f>_xlfn.XLOOKUP(D364,stores!A:A,stores!B:B)</f>
        <v>Bitola</v>
      </c>
      <c r="I364" t="str">
        <f t="shared" si="10"/>
        <v>NORMAL</v>
      </c>
      <c r="J364" s="4" t="str">
        <f t="shared" si="11"/>
        <v>7</v>
      </c>
    </row>
    <row r="365" spans="1:10">
      <c r="A365" s="2">
        <v>364</v>
      </c>
      <c r="B365" s="3">
        <v>46229</v>
      </c>
      <c r="C365" s="2">
        <v>7</v>
      </c>
      <c r="D365" s="2">
        <v>2</v>
      </c>
      <c r="E365" s="2">
        <v>32.8</v>
      </c>
      <c r="F365" s="2">
        <v>3116</v>
      </c>
      <c r="G365" t="str">
        <f>_xlfn.XLOOKUP(C365,products!A:A,products!B:B)</f>
        <v>Peach</v>
      </c>
      <c r="H365" t="str">
        <f>_xlfn.XLOOKUP(D365,stores!A:A,stores!B:B)</f>
        <v>Ohrid</v>
      </c>
      <c r="I365" t="str">
        <f t="shared" si="10"/>
        <v>NORMAL</v>
      </c>
      <c r="J365" s="4" t="str">
        <f t="shared" si="11"/>
        <v>7</v>
      </c>
    </row>
    <row r="366" spans="1:10">
      <c r="A366" s="2">
        <v>365</v>
      </c>
      <c r="B366" s="3">
        <v>46230</v>
      </c>
      <c r="C366" s="2">
        <v>1</v>
      </c>
      <c r="D366" s="2">
        <v>1</v>
      </c>
      <c r="E366" s="2">
        <v>14.5</v>
      </c>
      <c r="F366" s="2">
        <v>870</v>
      </c>
      <c r="G366" t="str">
        <f>_xlfn.XLOOKUP(C366,products!A:A,products!B:B)</f>
        <v>Apple</v>
      </c>
      <c r="H366" t="str">
        <f>_xlfn.XLOOKUP(D366,stores!A:A,stores!B:B)</f>
        <v>Bitola</v>
      </c>
      <c r="I366" t="str">
        <f t="shared" si="10"/>
        <v>NORMAL</v>
      </c>
      <c r="J366" s="4" t="str">
        <f t="shared" si="11"/>
        <v>7</v>
      </c>
    </row>
    <row r="367" spans="1:10">
      <c r="A367" s="2">
        <v>366</v>
      </c>
      <c r="B367" s="3">
        <v>46230</v>
      </c>
      <c r="C367" s="2">
        <v>1</v>
      </c>
      <c r="D367" s="2">
        <v>2</v>
      </c>
      <c r="E367" s="2">
        <v>29.6</v>
      </c>
      <c r="F367" s="2">
        <v>1776</v>
      </c>
      <c r="G367" t="str">
        <f>_xlfn.XLOOKUP(C367,products!A:A,products!B:B)</f>
        <v>Apple</v>
      </c>
      <c r="H367" t="str">
        <f>_xlfn.XLOOKUP(D367,stores!A:A,stores!B:B)</f>
        <v>Ohrid</v>
      </c>
      <c r="I367" t="str">
        <f t="shared" si="10"/>
        <v>NORMAL</v>
      </c>
      <c r="J367" s="4" t="str">
        <f t="shared" si="11"/>
        <v>7</v>
      </c>
    </row>
    <row r="368" spans="1:10">
      <c r="A368" s="2">
        <v>367</v>
      </c>
      <c r="B368" s="3">
        <v>46230</v>
      </c>
      <c r="C368" s="2">
        <v>2</v>
      </c>
      <c r="D368" s="2">
        <v>1</v>
      </c>
      <c r="E368" s="2">
        <v>24.8</v>
      </c>
      <c r="F368" s="2">
        <v>2232</v>
      </c>
      <c r="G368" t="str">
        <f>_xlfn.XLOOKUP(C368,products!A:A,products!B:B)</f>
        <v>Banana</v>
      </c>
      <c r="H368" t="str">
        <f>_xlfn.XLOOKUP(D368,stores!A:A,stores!B:B)</f>
        <v>Bitola</v>
      </c>
      <c r="I368" t="str">
        <f t="shared" si="10"/>
        <v>NORMAL</v>
      </c>
      <c r="J368" s="4" t="str">
        <f t="shared" si="11"/>
        <v>7</v>
      </c>
    </row>
    <row r="369" spans="1:10">
      <c r="A369" s="2">
        <v>368</v>
      </c>
      <c r="B369" s="3">
        <v>46230</v>
      </c>
      <c r="C369" s="2">
        <v>2</v>
      </c>
      <c r="D369" s="2">
        <v>2</v>
      </c>
      <c r="E369" s="2">
        <v>46</v>
      </c>
      <c r="F369" s="2">
        <v>4140</v>
      </c>
      <c r="G369" t="str">
        <f>_xlfn.XLOOKUP(C369,products!A:A,products!B:B)</f>
        <v>Banana</v>
      </c>
      <c r="H369" t="str">
        <f>_xlfn.XLOOKUP(D369,stores!A:A,stores!B:B)</f>
        <v>Ohrid</v>
      </c>
      <c r="I369" t="str">
        <f t="shared" si="10"/>
        <v>NORMAL</v>
      </c>
      <c r="J369" s="4" t="str">
        <f t="shared" si="11"/>
        <v>7</v>
      </c>
    </row>
    <row r="370" spans="1:10">
      <c r="A370" s="2">
        <v>369</v>
      </c>
      <c r="B370" s="3">
        <v>46230</v>
      </c>
      <c r="C370" s="2">
        <v>3</v>
      </c>
      <c r="D370" s="2">
        <v>1</v>
      </c>
      <c r="E370" s="2">
        <v>14.6</v>
      </c>
      <c r="F370" s="2">
        <v>1168</v>
      </c>
      <c r="G370" t="str">
        <f>_xlfn.XLOOKUP(C370,products!A:A,products!B:B)</f>
        <v>Orange</v>
      </c>
      <c r="H370" t="str">
        <f>_xlfn.XLOOKUP(D370,stores!A:A,stores!B:B)</f>
        <v>Bitola</v>
      </c>
      <c r="I370" t="str">
        <f t="shared" si="10"/>
        <v>NORMAL</v>
      </c>
      <c r="J370" s="4" t="str">
        <f t="shared" si="11"/>
        <v>7</v>
      </c>
    </row>
    <row r="371" spans="1:10">
      <c r="A371" s="2">
        <v>370</v>
      </c>
      <c r="B371" s="3">
        <v>46230</v>
      </c>
      <c r="C371" s="2">
        <v>3</v>
      </c>
      <c r="D371" s="2">
        <v>2</v>
      </c>
      <c r="E371" s="2">
        <v>14.1</v>
      </c>
      <c r="F371" s="2">
        <v>1128</v>
      </c>
      <c r="G371" t="str">
        <f>_xlfn.XLOOKUP(C371,products!A:A,products!B:B)</f>
        <v>Orange</v>
      </c>
      <c r="H371" t="str">
        <f>_xlfn.XLOOKUP(D371,stores!A:A,stores!B:B)</f>
        <v>Ohrid</v>
      </c>
      <c r="I371" t="str">
        <f t="shared" si="10"/>
        <v>NORMAL</v>
      </c>
      <c r="J371" s="4" t="str">
        <f t="shared" si="11"/>
        <v>7</v>
      </c>
    </row>
    <row r="372" spans="1:10">
      <c r="A372" s="2">
        <v>371</v>
      </c>
      <c r="B372" s="3">
        <v>46230</v>
      </c>
      <c r="C372" s="2">
        <v>4</v>
      </c>
      <c r="D372" s="2">
        <v>1</v>
      </c>
      <c r="E372" s="2">
        <v>48.3</v>
      </c>
      <c r="F372" s="2">
        <v>1208</v>
      </c>
      <c r="G372" t="str">
        <f>_xlfn.XLOOKUP(C372,products!A:A,products!B:B)</f>
        <v>Watermelon</v>
      </c>
      <c r="H372" t="str">
        <f>_xlfn.XLOOKUP(D372,stores!A:A,stores!B:B)</f>
        <v>Bitola</v>
      </c>
      <c r="I372" t="str">
        <f t="shared" si="10"/>
        <v>NORMAL</v>
      </c>
      <c r="J372" s="4" t="str">
        <f t="shared" si="11"/>
        <v>7</v>
      </c>
    </row>
    <row r="373" spans="1:10">
      <c r="A373" s="2">
        <v>372</v>
      </c>
      <c r="B373" s="3">
        <v>46230</v>
      </c>
      <c r="C373" s="2">
        <v>4</v>
      </c>
      <c r="D373" s="2">
        <v>2</v>
      </c>
      <c r="E373" s="2">
        <v>90.5</v>
      </c>
      <c r="F373" s="2">
        <v>2262</v>
      </c>
      <c r="G373" t="str">
        <f>_xlfn.XLOOKUP(C373,products!A:A,products!B:B)</f>
        <v>Watermelon</v>
      </c>
      <c r="H373" t="str">
        <f>_xlfn.XLOOKUP(D373,stores!A:A,stores!B:B)</f>
        <v>Ohrid</v>
      </c>
      <c r="I373" t="str">
        <f t="shared" si="10"/>
        <v>BIG</v>
      </c>
      <c r="J373" s="4" t="str">
        <f t="shared" si="11"/>
        <v>7</v>
      </c>
    </row>
    <row r="374" spans="1:10">
      <c r="A374" s="2">
        <v>373</v>
      </c>
      <c r="B374" s="3">
        <v>46230</v>
      </c>
      <c r="C374" s="2">
        <v>5</v>
      </c>
      <c r="D374" s="2">
        <v>1</v>
      </c>
      <c r="E374" s="2">
        <v>4.9</v>
      </c>
      <c r="F374" s="2">
        <v>539</v>
      </c>
      <c r="G374" t="str">
        <f>_xlfn.XLOOKUP(C374,products!A:A,products!B:B)</f>
        <v>Grapes</v>
      </c>
      <c r="H374" t="str">
        <f>_xlfn.XLOOKUP(D374,stores!A:A,stores!B:B)</f>
        <v>Bitola</v>
      </c>
      <c r="I374" t="str">
        <f t="shared" si="10"/>
        <v>NORMAL</v>
      </c>
      <c r="J374" s="4" t="str">
        <f t="shared" si="11"/>
        <v>7</v>
      </c>
    </row>
    <row r="375" spans="1:10">
      <c r="A375" s="2">
        <v>374</v>
      </c>
      <c r="B375" s="3">
        <v>46230</v>
      </c>
      <c r="C375" s="2">
        <v>5</v>
      </c>
      <c r="D375" s="2">
        <v>2</v>
      </c>
      <c r="E375" s="2">
        <v>4.9</v>
      </c>
      <c r="F375" s="2">
        <v>539</v>
      </c>
      <c r="G375" t="str">
        <f>_xlfn.XLOOKUP(C375,products!A:A,products!B:B)</f>
        <v>Grapes</v>
      </c>
      <c r="H375" t="str">
        <f>_xlfn.XLOOKUP(D375,stores!A:A,stores!B:B)</f>
        <v>Ohrid</v>
      </c>
      <c r="I375" t="str">
        <f t="shared" si="10"/>
        <v>NORMAL</v>
      </c>
      <c r="J375" s="4" t="str">
        <f t="shared" si="11"/>
        <v>7</v>
      </c>
    </row>
    <row r="376" spans="1:10">
      <c r="A376" s="2">
        <v>375</v>
      </c>
      <c r="B376" s="3">
        <v>46230</v>
      </c>
      <c r="C376" s="2">
        <v>6</v>
      </c>
      <c r="D376" s="2">
        <v>1</v>
      </c>
      <c r="E376" s="2">
        <v>7.6</v>
      </c>
      <c r="F376" s="2">
        <v>1672</v>
      </c>
      <c r="G376" t="str">
        <f>_xlfn.XLOOKUP(C376,products!A:A,products!B:B)</f>
        <v>Strawberry</v>
      </c>
      <c r="H376" t="str">
        <f>_xlfn.XLOOKUP(D376,stores!A:A,stores!B:B)</f>
        <v>Bitola</v>
      </c>
      <c r="I376" t="str">
        <f t="shared" si="10"/>
        <v>NORMAL</v>
      </c>
      <c r="J376" s="4" t="str">
        <f t="shared" si="11"/>
        <v>7</v>
      </c>
    </row>
    <row r="377" spans="1:10">
      <c r="A377" s="2">
        <v>376</v>
      </c>
      <c r="B377" s="3">
        <v>46230</v>
      </c>
      <c r="C377" s="2">
        <v>6</v>
      </c>
      <c r="D377" s="2">
        <v>2</v>
      </c>
      <c r="E377" s="2">
        <v>11.8</v>
      </c>
      <c r="F377" s="2">
        <v>2596</v>
      </c>
      <c r="G377" t="str">
        <f>_xlfn.XLOOKUP(C377,products!A:A,products!B:B)</f>
        <v>Strawberry</v>
      </c>
      <c r="H377" t="str">
        <f>_xlfn.XLOOKUP(D377,stores!A:A,stores!B:B)</f>
        <v>Ohrid</v>
      </c>
      <c r="I377" t="str">
        <f t="shared" si="10"/>
        <v>NORMAL</v>
      </c>
      <c r="J377" s="4" t="str">
        <f t="shared" si="11"/>
        <v>7</v>
      </c>
    </row>
    <row r="378" spans="1:10">
      <c r="A378" s="2">
        <v>377</v>
      </c>
      <c r="B378" s="3">
        <v>46230</v>
      </c>
      <c r="C378" s="2">
        <v>7</v>
      </c>
      <c r="D378" s="2">
        <v>1</v>
      </c>
      <c r="E378" s="2">
        <v>20</v>
      </c>
      <c r="F378" s="2">
        <v>1900</v>
      </c>
      <c r="G378" t="str">
        <f>_xlfn.XLOOKUP(C378,products!A:A,products!B:B)</f>
        <v>Peach</v>
      </c>
      <c r="H378" t="str">
        <f>_xlfn.XLOOKUP(D378,stores!A:A,stores!B:B)</f>
        <v>Bitola</v>
      </c>
      <c r="I378" t="str">
        <f t="shared" si="10"/>
        <v>NORMAL</v>
      </c>
      <c r="J378" s="4" t="str">
        <f t="shared" si="11"/>
        <v>7</v>
      </c>
    </row>
    <row r="379" spans="1:10">
      <c r="A379" s="2">
        <v>378</v>
      </c>
      <c r="B379" s="3">
        <v>46230</v>
      </c>
      <c r="C379" s="2">
        <v>7</v>
      </c>
      <c r="D379" s="2">
        <v>2</v>
      </c>
      <c r="E379" s="2">
        <v>26.1</v>
      </c>
      <c r="F379" s="2">
        <v>2480</v>
      </c>
      <c r="G379" t="str">
        <f>_xlfn.XLOOKUP(C379,products!A:A,products!B:B)</f>
        <v>Peach</v>
      </c>
      <c r="H379" t="str">
        <f>_xlfn.XLOOKUP(D379,stores!A:A,stores!B:B)</f>
        <v>Ohrid</v>
      </c>
      <c r="I379" t="str">
        <f t="shared" si="10"/>
        <v>NORMAL</v>
      </c>
      <c r="J379" s="4" t="str">
        <f t="shared" si="11"/>
        <v>7</v>
      </c>
    </row>
    <row r="380" spans="1:10">
      <c r="A380" s="2">
        <v>379</v>
      </c>
      <c r="B380" s="3">
        <v>46231</v>
      </c>
      <c r="C380" s="2">
        <v>1</v>
      </c>
      <c r="D380" s="2">
        <v>1</v>
      </c>
      <c r="E380" s="2">
        <v>15.3</v>
      </c>
      <c r="F380" s="2">
        <v>918</v>
      </c>
      <c r="G380" t="str">
        <f>_xlfn.XLOOKUP(C380,products!A:A,products!B:B)</f>
        <v>Apple</v>
      </c>
      <c r="H380" t="str">
        <f>_xlfn.XLOOKUP(D380,stores!A:A,stores!B:B)</f>
        <v>Bitola</v>
      </c>
      <c r="I380" t="str">
        <f t="shared" si="10"/>
        <v>NORMAL</v>
      </c>
      <c r="J380" s="4" t="str">
        <f t="shared" si="11"/>
        <v>7</v>
      </c>
    </row>
    <row r="381" spans="1:10">
      <c r="A381" s="2">
        <v>380</v>
      </c>
      <c r="B381" s="3">
        <v>46231</v>
      </c>
      <c r="C381" s="2">
        <v>1</v>
      </c>
      <c r="D381" s="2">
        <v>2</v>
      </c>
      <c r="E381" s="2">
        <v>34.2</v>
      </c>
      <c r="F381" s="2">
        <v>2052</v>
      </c>
      <c r="G381" t="str">
        <f>_xlfn.XLOOKUP(C381,products!A:A,products!B:B)</f>
        <v>Apple</v>
      </c>
      <c r="H381" t="str">
        <f>_xlfn.XLOOKUP(D381,stores!A:A,stores!B:B)</f>
        <v>Ohrid</v>
      </c>
      <c r="I381" t="str">
        <f t="shared" si="10"/>
        <v>NORMAL</v>
      </c>
      <c r="J381" s="4" t="str">
        <f t="shared" si="11"/>
        <v>7</v>
      </c>
    </row>
    <row r="382" spans="1:10">
      <c r="A382" s="2">
        <v>381</v>
      </c>
      <c r="B382" s="3">
        <v>46231</v>
      </c>
      <c r="C382" s="2">
        <v>2</v>
      </c>
      <c r="D382" s="2">
        <v>1</v>
      </c>
      <c r="E382" s="2">
        <v>24.2</v>
      </c>
      <c r="F382" s="2">
        <v>2178</v>
      </c>
      <c r="G382" t="str">
        <f>_xlfn.XLOOKUP(C382,products!A:A,products!B:B)</f>
        <v>Banana</v>
      </c>
      <c r="H382" t="str">
        <f>_xlfn.XLOOKUP(D382,stores!A:A,stores!B:B)</f>
        <v>Bitola</v>
      </c>
      <c r="I382" t="str">
        <f t="shared" si="10"/>
        <v>NORMAL</v>
      </c>
      <c r="J382" s="4" t="str">
        <f t="shared" si="11"/>
        <v>7</v>
      </c>
    </row>
    <row r="383" spans="1:10">
      <c r="A383" s="2">
        <v>382</v>
      </c>
      <c r="B383" s="3">
        <v>46231</v>
      </c>
      <c r="C383" s="2">
        <v>2</v>
      </c>
      <c r="D383" s="2">
        <v>2</v>
      </c>
      <c r="E383" s="2">
        <v>29.2</v>
      </c>
      <c r="F383" s="2">
        <v>2628</v>
      </c>
      <c r="G383" t="str">
        <f>_xlfn.XLOOKUP(C383,products!A:A,products!B:B)</f>
        <v>Banana</v>
      </c>
      <c r="H383" t="str">
        <f>_xlfn.XLOOKUP(D383,stores!A:A,stores!B:B)</f>
        <v>Ohrid</v>
      </c>
      <c r="I383" t="str">
        <f t="shared" si="10"/>
        <v>NORMAL</v>
      </c>
      <c r="J383" s="4" t="str">
        <f t="shared" si="11"/>
        <v>7</v>
      </c>
    </row>
    <row r="384" spans="1:10">
      <c r="A384" s="2">
        <v>383</v>
      </c>
      <c r="B384" s="3">
        <v>46231</v>
      </c>
      <c r="C384" s="2">
        <v>3</v>
      </c>
      <c r="D384" s="2">
        <v>1</v>
      </c>
      <c r="E384" s="2">
        <v>9.3</v>
      </c>
      <c r="F384" s="2">
        <v>744</v>
      </c>
      <c r="G384" t="str">
        <f>_xlfn.XLOOKUP(C384,products!A:A,products!B:B)</f>
        <v>Orange</v>
      </c>
      <c r="H384" t="str">
        <f>_xlfn.XLOOKUP(D384,stores!A:A,stores!B:B)</f>
        <v>Bitola</v>
      </c>
      <c r="I384" t="str">
        <f t="shared" si="10"/>
        <v>NORMAL</v>
      </c>
      <c r="J384" s="4" t="str">
        <f t="shared" si="11"/>
        <v>7</v>
      </c>
    </row>
    <row r="385" spans="1:10">
      <c r="A385" s="2">
        <v>384</v>
      </c>
      <c r="B385" s="3">
        <v>46231</v>
      </c>
      <c r="C385" s="2">
        <v>3</v>
      </c>
      <c r="D385" s="2">
        <v>2</v>
      </c>
      <c r="E385" s="2">
        <v>16.7</v>
      </c>
      <c r="F385" s="2">
        <v>1336</v>
      </c>
      <c r="G385" t="str">
        <f>_xlfn.XLOOKUP(C385,products!A:A,products!B:B)</f>
        <v>Orange</v>
      </c>
      <c r="H385" t="str">
        <f>_xlfn.XLOOKUP(D385,stores!A:A,stores!B:B)</f>
        <v>Ohrid</v>
      </c>
      <c r="I385" t="str">
        <f t="shared" si="10"/>
        <v>NORMAL</v>
      </c>
      <c r="J385" s="4" t="str">
        <f t="shared" si="11"/>
        <v>7</v>
      </c>
    </row>
    <row r="386" spans="1:10">
      <c r="A386" s="2">
        <v>385</v>
      </c>
      <c r="B386" s="3">
        <v>46231</v>
      </c>
      <c r="C386" s="2">
        <v>4</v>
      </c>
      <c r="D386" s="2">
        <v>1</v>
      </c>
      <c r="E386" s="2">
        <v>60.4</v>
      </c>
      <c r="F386" s="2">
        <v>1510</v>
      </c>
      <c r="G386" t="str">
        <f>_xlfn.XLOOKUP(C386,products!A:A,products!B:B)</f>
        <v>Watermelon</v>
      </c>
      <c r="H386" t="str">
        <f>_xlfn.XLOOKUP(D386,stores!A:A,stores!B:B)</f>
        <v>Bitola</v>
      </c>
      <c r="I386" t="str">
        <f t="shared" ref="I386:I449" si="12">IF(E386&gt;50,"BIG","NORMAL")</f>
        <v>BIG</v>
      </c>
      <c r="J386" s="4" t="str">
        <f t="shared" ref="J386:J449" si="13">TEXT(B386,"m")</f>
        <v>7</v>
      </c>
    </row>
    <row r="387" spans="1:10">
      <c r="A387" s="2">
        <v>386</v>
      </c>
      <c r="B387" s="3">
        <v>46231</v>
      </c>
      <c r="C387" s="2">
        <v>4</v>
      </c>
      <c r="D387" s="2">
        <v>2</v>
      </c>
      <c r="E387" s="2">
        <v>107.4</v>
      </c>
      <c r="F387" s="2">
        <v>2685</v>
      </c>
      <c r="G387" t="str">
        <f>_xlfn.XLOOKUP(C387,products!A:A,products!B:B)</f>
        <v>Watermelon</v>
      </c>
      <c r="H387" t="str">
        <f>_xlfn.XLOOKUP(D387,stores!A:A,stores!B:B)</f>
        <v>Ohrid</v>
      </c>
      <c r="I387" t="str">
        <f t="shared" si="12"/>
        <v>BIG</v>
      </c>
      <c r="J387" s="4" t="str">
        <f t="shared" si="13"/>
        <v>7</v>
      </c>
    </row>
    <row r="388" spans="1:10">
      <c r="A388" s="2">
        <v>387</v>
      </c>
      <c r="B388" s="3">
        <v>46231</v>
      </c>
      <c r="C388" s="2">
        <v>5</v>
      </c>
      <c r="D388" s="2">
        <v>1</v>
      </c>
      <c r="E388" s="2">
        <v>5.7</v>
      </c>
      <c r="F388" s="2">
        <v>627</v>
      </c>
      <c r="G388" t="str">
        <f>_xlfn.XLOOKUP(C388,products!A:A,products!B:B)</f>
        <v>Grapes</v>
      </c>
      <c r="H388" t="str">
        <f>_xlfn.XLOOKUP(D388,stores!A:A,stores!B:B)</f>
        <v>Bitola</v>
      </c>
      <c r="I388" t="str">
        <f t="shared" si="12"/>
        <v>NORMAL</v>
      </c>
      <c r="J388" s="4" t="str">
        <f t="shared" si="13"/>
        <v>7</v>
      </c>
    </row>
    <row r="389" spans="1:10">
      <c r="A389" s="2">
        <v>388</v>
      </c>
      <c r="B389" s="3">
        <v>46231</v>
      </c>
      <c r="C389" s="2">
        <v>5</v>
      </c>
      <c r="D389" s="2">
        <v>2</v>
      </c>
      <c r="E389" s="2">
        <v>8</v>
      </c>
      <c r="F389" s="2">
        <v>880</v>
      </c>
      <c r="G389" t="str">
        <f>_xlfn.XLOOKUP(C389,products!A:A,products!B:B)</f>
        <v>Grapes</v>
      </c>
      <c r="H389" t="str">
        <f>_xlfn.XLOOKUP(D389,stores!A:A,stores!B:B)</f>
        <v>Ohrid</v>
      </c>
      <c r="I389" t="str">
        <f t="shared" si="12"/>
        <v>NORMAL</v>
      </c>
      <c r="J389" s="4" t="str">
        <f t="shared" si="13"/>
        <v>7</v>
      </c>
    </row>
    <row r="390" spans="1:10">
      <c r="A390" s="2">
        <v>389</v>
      </c>
      <c r="B390" s="3">
        <v>46231</v>
      </c>
      <c r="C390" s="2">
        <v>6</v>
      </c>
      <c r="D390" s="2">
        <v>1</v>
      </c>
      <c r="E390" s="2">
        <v>10.2</v>
      </c>
      <c r="F390" s="2">
        <v>2244</v>
      </c>
      <c r="G390" t="str">
        <f>_xlfn.XLOOKUP(C390,products!A:A,products!B:B)</f>
        <v>Strawberry</v>
      </c>
      <c r="H390" t="str">
        <f>_xlfn.XLOOKUP(D390,stores!A:A,stores!B:B)</f>
        <v>Bitola</v>
      </c>
      <c r="I390" t="str">
        <f t="shared" si="12"/>
        <v>NORMAL</v>
      </c>
      <c r="J390" s="4" t="str">
        <f t="shared" si="13"/>
        <v>7</v>
      </c>
    </row>
    <row r="391" spans="1:10">
      <c r="A391" s="2">
        <v>390</v>
      </c>
      <c r="B391" s="3">
        <v>46231</v>
      </c>
      <c r="C391" s="2">
        <v>6</v>
      </c>
      <c r="D391" s="2">
        <v>2</v>
      </c>
      <c r="E391" s="2">
        <v>10</v>
      </c>
      <c r="F391" s="2">
        <v>2200</v>
      </c>
      <c r="G391" t="str">
        <f>_xlfn.XLOOKUP(C391,products!A:A,products!B:B)</f>
        <v>Strawberry</v>
      </c>
      <c r="H391" t="str">
        <f>_xlfn.XLOOKUP(D391,stores!A:A,stores!B:B)</f>
        <v>Ohrid</v>
      </c>
      <c r="I391" t="str">
        <f t="shared" si="12"/>
        <v>NORMAL</v>
      </c>
      <c r="J391" s="4" t="str">
        <f t="shared" si="13"/>
        <v>7</v>
      </c>
    </row>
    <row r="392" spans="1:10">
      <c r="A392" s="2">
        <v>391</v>
      </c>
      <c r="B392" s="3">
        <v>46231</v>
      </c>
      <c r="C392" s="2">
        <v>7</v>
      </c>
      <c r="D392" s="2">
        <v>1</v>
      </c>
      <c r="E392" s="2">
        <v>27</v>
      </c>
      <c r="F392" s="2">
        <v>2565</v>
      </c>
      <c r="G392" t="str">
        <f>_xlfn.XLOOKUP(C392,products!A:A,products!B:B)</f>
        <v>Peach</v>
      </c>
      <c r="H392" t="str">
        <f>_xlfn.XLOOKUP(D392,stores!A:A,stores!B:B)</f>
        <v>Bitola</v>
      </c>
      <c r="I392" t="str">
        <f t="shared" si="12"/>
        <v>NORMAL</v>
      </c>
      <c r="J392" s="4" t="str">
        <f t="shared" si="13"/>
        <v>7</v>
      </c>
    </row>
    <row r="393" spans="1:10">
      <c r="A393" s="2">
        <v>392</v>
      </c>
      <c r="B393" s="3">
        <v>46231</v>
      </c>
      <c r="C393" s="2">
        <v>7</v>
      </c>
      <c r="D393" s="2">
        <v>2</v>
      </c>
      <c r="E393" s="2">
        <v>25.9</v>
      </c>
      <c r="F393" s="2">
        <v>2460</v>
      </c>
      <c r="G393" t="str">
        <f>_xlfn.XLOOKUP(C393,products!A:A,products!B:B)</f>
        <v>Peach</v>
      </c>
      <c r="H393" t="str">
        <f>_xlfn.XLOOKUP(D393,stores!A:A,stores!B:B)</f>
        <v>Ohrid</v>
      </c>
      <c r="I393" t="str">
        <f t="shared" si="12"/>
        <v>NORMAL</v>
      </c>
      <c r="J393" s="4" t="str">
        <f t="shared" si="13"/>
        <v>7</v>
      </c>
    </row>
    <row r="394" spans="1:10">
      <c r="A394" s="2">
        <v>393</v>
      </c>
      <c r="B394" s="3">
        <v>46232</v>
      </c>
      <c r="C394" s="2">
        <v>1</v>
      </c>
      <c r="D394" s="2">
        <v>1</v>
      </c>
      <c r="E394" s="2">
        <v>16.6</v>
      </c>
      <c r="F394" s="2">
        <v>996</v>
      </c>
      <c r="G394" t="str">
        <f>_xlfn.XLOOKUP(C394,products!A:A,products!B:B)</f>
        <v>Apple</v>
      </c>
      <c r="H394" t="str">
        <f>_xlfn.XLOOKUP(D394,stores!A:A,stores!B:B)</f>
        <v>Bitola</v>
      </c>
      <c r="I394" t="str">
        <f t="shared" si="12"/>
        <v>NORMAL</v>
      </c>
      <c r="J394" s="4" t="str">
        <f t="shared" si="13"/>
        <v>7</v>
      </c>
    </row>
    <row r="395" spans="1:10">
      <c r="A395" s="2">
        <v>394</v>
      </c>
      <c r="B395" s="3">
        <v>46232</v>
      </c>
      <c r="C395" s="2">
        <v>1</v>
      </c>
      <c r="D395" s="2">
        <v>2</v>
      </c>
      <c r="E395" s="2">
        <v>31.2</v>
      </c>
      <c r="F395" s="2">
        <v>1872</v>
      </c>
      <c r="G395" t="str">
        <f>_xlfn.XLOOKUP(C395,products!A:A,products!B:B)</f>
        <v>Apple</v>
      </c>
      <c r="H395" t="str">
        <f>_xlfn.XLOOKUP(D395,stores!A:A,stores!B:B)</f>
        <v>Ohrid</v>
      </c>
      <c r="I395" t="str">
        <f t="shared" si="12"/>
        <v>NORMAL</v>
      </c>
      <c r="J395" s="4" t="str">
        <f t="shared" si="13"/>
        <v>7</v>
      </c>
    </row>
    <row r="396" spans="1:10">
      <c r="A396" s="2">
        <v>395</v>
      </c>
      <c r="B396" s="3">
        <v>46232</v>
      </c>
      <c r="C396" s="2">
        <v>2</v>
      </c>
      <c r="D396" s="2">
        <v>1</v>
      </c>
      <c r="E396" s="2">
        <v>29.1</v>
      </c>
      <c r="F396" s="2">
        <v>2619</v>
      </c>
      <c r="G396" t="str">
        <f>_xlfn.XLOOKUP(C396,products!A:A,products!B:B)</f>
        <v>Banana</v>
      </c>
      <c r="H396" t="str">
        <f>_xlfn.XLOOKUP(D396,stores!A:A,stores!B:B)</f>
        <v>Bitola</v>
      </c>
      <c r="I396" t="str">
        <f t="shared" si="12"/>
        <v>NORMAL</v>
      </c>
      <c r="J396" s="4" t="str">
        <f t="shared" si="13"/>
        <v>7</v>
      </c>
    </row>
    <row r="397" spans="1:10">
      <c r="A397" s="2">
        <v>396</v>
      </c>
      <c r="B397" s="3">
        <v>46232</v>
      </c>
      <c r="C397" s="2">
        <v>2</v>
      </c>
      <c r="D397" s="2">
        <v>2</v>
      </c>
      <c r="E397" s="2">
        <v>35</v>
      </c>
      <c r="F397" s="2">
        <v>3150</v>
      </c>
      <c r="G397" t="str">
        <f>_xlfn.XLOOKUP(C397,products!A:A,products!B:B)</f>
        <v>Banana</v>
      </c>
      <c r="H397" t="str">
        <f>_xlfn.XLOOKUP(D397,stores!A:A,stores!B:B)</f>
        <v>Ohrid</v>
      </c>
      <c r="I397" t="str">
        <f t="shared" si="12"/>
        <v>NORMAL</v>
      </c>
      <c r="J397" s="4" t="str">
        <f t="shared" si="13"/>
        <v>7</v>
      </c>
    </row>
    <row r="398" spans="1:10">
      <c r="A398" s="2">
        <v>397</v>
      </c>
      <c r="B398" s="3">
        <v>46232</v>
      </c>
      <c r="C398" s="2">
        <v>3</v>
      </c>
      <c r="D398" s="2">
        <v>1</v>
      </c>
      <c r="E398" s="2">
        <v>7.6</v>
      </c>
      <c r="F398" s="2">
        <v>608</v>
      </c>
      <c r="G398" t="str">
        <f>_xlfn.XLOOKUP(C398,products!A:A,products!B:B)</f>
        <v>Orange</v>
      </c>
      <c r="H398" t="str">
        <f>_xlfn.XLOOKUP(D398,stores!A:A,stores!B:B)</f>
        <v>Bitola</v>
      </c>
      <c r="I398" t="str">
        <f t="shared" si="12"/>
        <v>NORMAL</v>
      </c>
      <c r="J398" s="4" t="str">
        <f t="shared" si="13"/>
        <v>7</v>
      </c>
    </row>
    <row r="399" spans="1:10">
      <c r="A399" s="2">
        <v>398</v>
      </c>
      <c r="B399" s="3">
        <v>46232</v>
      </c>
      <c r="C399" s="2">
        <v>3</v>
      </c>
      <c r="D399" s="2">
        <v>2</v>
      </c>
      <c r="E399" s="2">
        <v>15.6</v>
      </c>
      <c r="F399" s="2">
        <v>1248</v>
      </c>
      <c r="G399" t="str">
        <f>_xlfn.XLOOKUP(C399,products!A:A,products!B:B)</f>
        <v>Orange</v>
      </c>
      <c r="H399" t="str">
        <f>_xlfn.XLOOKUP(D399,stores!A:A,stores!B:B)</f>
        <v>Ohrid</v>
      </c>
      <c r="I399" t="str">
        <f t="shared" si="12"/>
        <v>NORMAL</v>
      </c>
      <c r="J399" s="4" t="str">
        <f t="shared" si="13"/>
        <v>7</v>
      </c>
    </row>
    <row r="400" spans="1:10">
      <c r="A400" s="2">
        <v>399</v>
      </c>
      <c r="B400" s="3">
        <v>46232</v>
      </c>
      <c r="C400" s="2">
        <v>4</v>
      </c>
      <c r="D400" s="2">
        <v>1</v>
      </c>
      <c r="E400" s="2">
        <v>61.2</v>
      </c>
      <c r="F400" s="2">
        <v>1530</v>
      </c>
      <c r="G400" t="str">
        <f>_xlfn.XLOOKUP(C400,products!A:A,products!B:B)</f>
        <v>Watermelon</v>
      </c>
      <c r="H400" t="str">
        <f>_xlfn.XLOOKUP(D400,stores!A:A,stores!B:B)</f>
        <v>Bitola</v>
      </c>
      <c r="I400" t="str">
        <f t="shared" si="12"/>
        <v>BIG</v>
      </c>
      <c r="J400" s="4" t="str">
        <f t="shared" si="13"/>
        <v>7</v>
      </c>
    </row>
    <row r="401" spans="1:10">
      <c r="A401" s="2">
        <v>400</v>
      </c>
      <c r="B401" s="3">
        <v>46232</v>
      </c>
      <c r="C401" s="2">
        <v>4</v>
      </c>
      <c r="D401" s="2">
        <v>2</v>
      </c>
      <c r="E401" s="2">
        <v>79.9</v>
      </c>
      <c r="F401" s="2">
        <v>1998</v>
      </c>
      <c r="G401" t="str">
        <f>_xlfn.XLOOKUP(C401,products!A:A,products!B:B)</f>
        <v>Watermelon</v>
      </c>
      <c r="H401" t="str">
        <f>_xlfn.XLOOKUP(D401,stores!A:A,stores!B:B)</f>
        <v>Ohrid</v>
      </c>
      <c r="I401" t="str">
        <f t="shared" si="12"/>
        <v>BIG</v>
      </c>
      <c r="J401" s="4" t="str">
        <f t="shared" si="13"/>
        <v>7</v>
      </c>
    </row>
    <row r="402" spans="1:10">
      <c r="A402" s="2">
        <v>401</v>
      </c>
      <c r="B402" s="3">
        <v>46232</v>
      </c>
      <c r="C402" s="2">
        <v>5</v>
      </c>
      <c r="D402" s="2">
        <v>1</v>
      </c>
      <c r="E402" s="2">
        <v>4.4</v>
      </c>
      <c r="F402" s="2">
        <v>484</v>
      </c>
      <c r="G402" t="str">
        <f>_xlfn.XLOOKUP(C402,products!A:A,products!B:B)</f>
        <v>Grapes</v>
      </c>
      <c r="H402" t="str">
        <f>_xlfn.XLOOKUP(D402,stores!A:A,stores!B:B)</f>
        <v>Bitola</v>
      </c>
      <c r="I402" t="str">
        <f t="shared" si="12"/>
        <v>NORMAL</v>
      </c>
      <c r="J402" s="4" t="str">
        <f t="shared" si="13"/>
        <v>7</v>
      </c>
    </row>
    <row r="403" spans="1:10">
      <c r="A403" s="2">
        <v>402</v>
      </c>
      <c r="B403" s="3">
        <v>46232</v>
      </c>
      <c r="C403" s="2">
        <v>5</v>
      </c>
      <c r="D403" s="2">
        <v>2</v>
      </c>
      <c r="E403" s="2">
        <v>7.3</v>
      </c>
      <c r="F403" s="2">
        <v>803</v>
      </c>
      <c r="G403" t="str">
        <f>_xlfn.XLOOKUP(C403,products!A:A,products!B:B)</f>
        <v>Grapes</v>
      </c>
      <c r="H403" t="str">
        <f>_xlfn.XLOOKUP(D403,stores!A:A,stores!B:B)</f>
        <v>Ohrid</v>
      </c>
      <c r="I403" t="str">
        <f t="shared" si="12"/>
        <v>NORMAL</v>
      </c>
      <c r="J403" s="4" t="str">
        <f t="shared" si="13"/>
        <v>7</v>
      </c>
    </row>
    <row r="404" spans="1:10">
      <c r="A404" s="2">
        <v>403</v>
      </c>
      <c r="B404" s="3">
        <v>46232</v>
      </c>
      <c r="C404" s="2">
        <v>6</v>
      </c>
      <c r="D404" s="2">
        <v>1</v>
      </c>
      <c r="E404" s="2">
        <v>4.6</v>
      </c>
      <c r="F404" s="2">
        <v>1012</v>
      </c>
      <c r="G404" t="str">
        <f>_xlfn.XLOOKUP(C404,products!A:A,products!B:B)</f>
        <v>Strawberry</v>
      </c>
      <c r="H404" t="str">
        <f>_xlfn.XLOOKUP(D404,stores!A:A,stores!B:B)</f>
        <v>Bitola</v>
      </c>
      <c r="I404" t="str">
        <f t="shared" si="12"/>
        <v>NORMAL</v>
      </c>
      <c r="J404" s="4" t="str">
        <f t="shared" si="13"/>
        <v>7</v>
      </c>
    </row>
    <row r="405" spans="1:10">
      <c r="A405" s="2">
        <v>404</v>
      </c>
      <c r="B405" s="3">
        <v>46232</v>
      </c>
      <c r="C405" s="2">
        <v>6</v>
      </c>
      <c r="D405" s="2">
        <v>2</v>
      </c>
      <c r="E405" s="2">
        <v>12</v>
      </c>
      <c r="F405" s="2">
        <v>2640</v>
      </c>
      <c r="G405" t="str">
        <f>_xlfn.XLOOKUP(C405,products!A:A,products!B:B)</f>
        <v>Strawberry</v>
      </c>
      <c r="H405" t="str">
        <f>_xlfn.XLOOKUP(D405,stores!A:A,stores!B:B)</f>
        <v>Ohrid</v>
      </c>
      <c r="I405" t="str">
        <f t="shared" si="12"/>
        <v>NORMAL</v>
      </c>
      <c r="J405" s="4" t="str">
        <f t="shared" si="13"/>
        <v>7</v>
      </c>
    </row>
    <row r="406" spans="1:10">
      <c r="A406" s="2">
        <v>405</v>
      </c>
      <c r="B406" s="3">
        <v>46232</v>
      </c>
      <c r="C406" s="2">
        <v>7</v>
      </c>
      <c r="D406" s="2">
        <v>1</v>
      </c>
      <c r="E406" s="2">
        <v>22.8</v>
      </c>
      <c r="F406" s="2">
        <v>2166</v>
      </c>
      <c r="G406" t="str">
        <f>_xlfn.XLOOKUP(C406,products!A:A,products!B:B)</f>
        <v>Peach</v>
      </c>
      <c r="H406" t="str">
        <f>_xlfn.XLOOKUP(D406,stores!A:A,stores!B:B)</f>
        <v>Bitola</v>
      </c>
      <c r="I406" t="str">
        <f t="shared" si="12"/>
        <v>NORMAL</v>
      </c>
      <c r="J406" s="4" t="str">
        <f t="shared" si="13"/>
        <v>7</v>
      </c>
    </row>
    <row r="407" spans="1:10">
      <c r="A407" s="2">
        <v>406</v>
      </c>
      <c r="B407" s="3">
        <v>46232</v>
      </c>
      <c r="C407" s="2">
        <v>7</v>
      </c>
      <c r="D407" s="2">
        <v>2</v>
      </c>
      <c r="E407" s="2">
        <v>27.2</v>
      </c>
      <c r="F407" s="2">
        <v>2584</v>
      </c>
      <c r="G407" t="str">
        <f>_xlfn.XLOOKUP(C407,products!A:A,products!B:B)</f>
        <v>Peach</v>
      </c>
      <c r="H407" t="str">
        <f>_xlfn.XLOOKUP(D407,stores!A:A,stores!B:B)</f>
        <v>Ohrid</v>
      </c>
      <c r="I407" t="str">
        <f t="shared" si="12"/>
        <v>NORMAL</v>
      </c>
      <c r="J407" s="4" t="str">
        <f t="shared" si="13"/>
        <v>7</v>
      </c>
    </row>
    <row r="408" spans="1:10">
      <c r="A408" s="2">
        <v>407</v>
      </c>
      <c r="B408" s="3">
        <v>46233</v>
      </c>
      <c r="C408" s="2">
        <v>1</v>
      </c>
      <c r="D408" s="2">
        <v>1</v>
      </c>
      <c r="E408" s="2">
        <v>21.7</v>
      </c>
      <c r="F408" s="2">
        <v>1302</v>
      </c>
      <c r="G408" t="str">
        <f>_xlfn.XLOOKUP(C408,products!A:A,products!B:B)</f>
        <v>Apple</v>
      </c>
      <c r="H408" t="str">
        <f>_xlfn.XLOOKUP(D408,stores!A:A,stores!B:B)</f>
        <v>Bitola</v>
      </c>
      <c r="I408" t="str">
        <f t="shared" si="12"/>
        <v>NORMAL</v>
      </c>
      <c r="J408" s="4" t="str">
        <f t="shared" si="13"/>
        <v>7</v>
      </c>
    </row>
    <row r="409" spans="1:10">
      <c r="A409" s="2">
        <v>408</v>
      </c>
      <c r="B409" s="3">
        <v>46233</v>
      </c>
      <c r="C409" s="2">
        <v>1</v>
      </c>
      <c r="D409" s="2">
        <v>2</v>
      </c>
      <c r="E409" s="2">
        <v>28.3</v>
      </c>
      <c r="F409" s="2">
        <v>1698</v>
      </c>
      <c r="G409" t="str">
        <f>_xlfn.XLOOKUP(C409,products!A:A,products!B:B)</f>
        <v>Apple</v>
      </c>
      <c r="H409" t="str">
        <f>_xlfn.XLOOKUP(D409,stores!A:A,stores!B:B)</f>
        <v>Ohrid</v>
      </c>
      <c r="I409" t="str">
        <f t="shared" si="12"/>
        <v>NORMAL</v>
      </c>
      <c r="J409" s="4" t="str">
        <f t="shared" si="13"/>
        <v>7</v>
      </c>
    </row>
    <row r="410" spans="1:10">
      <c r="A410" s="2">
        <v>409</v>
      </c>
      <c r="B410" s="3">
        <v>46233</v>
      </c>
      <c r="C410" s="2">
        <v>2</v>
      </c>
      <c r="D410" s="2">
        <v>1</v>
      </c>
      <c r="E410" s="2">
        <v>22</v>
      </c>
      <c r="F410" s="2">
        <v>1980</v>
      </c>
      <c r="G410" t="str">
        <f>_xlfn.XLOOKUP(C410,products!A:A,products!B:B)</f>
        <v>Banana</v>
      </c>
      <c r="H410" t="str">
        <f>_xlfn.XLOOKUP(D410,stores!A:A,stores!B:B)</f>
        <v>Bitola</v>
      </c>
      <c r="I410" t="str">
        <f t="shared" si="12"/>
        <v>NORMAL</v>
      </c>
      <c r="J410" s="4" t="str">
        <f t="shared" si="13"/>
        <v>7</v>
      </c>
    </row>
    <row r="411" spans="1:10">
      <c r="A411" s="2">
        <v>410</v>
      </c>
      <c r="B411" s="3">
        <v>46233</v>
      </c>
      <c r="C411" s="2">
        <v>2</v>
      </c>
      <c r="D411" s="2">
        <v>2</v>
      </c>
      <c r="E411" s="2">
        <v>30.3</v>
      </c>
      <c r="F411" s="2">
        <v>2727</v>
      </c>
      <c r="G411" t="str">
        <f>_xlfn.XLOOKUP(C411,products!A:A,products!B:B)</f>
        <v>Banana</v>
      </c>
      <c r="H411" t="str">
        <f>_xlfn.XLOOKUP(D411,stores!A:A,stores!B:B)</f>
        <v>Ohrid</v>
      </c>
      <c r="I411" t="str">
        <f t="shared" si="12"/>
        <v>NORMAL</v>
      </c>
      <c r="J411" s="4" t="str">
        <f t="shared" si="13"/>
        <v>7</v>
      </c>
    </row>
    <row r="412" spans="1:10">
      <c r="A412" s="2">
        <v>411</v>
      </c>
      <c r="B412" s="3">
        <v>46233</v>
      </c>
      <c r="C412" s="2">
        <v>3</v>
      </c>
      <c r="D412" s="2">
        <v>1</v>
      </c>
      <c r="E412" s="2">
        <v>11.4</v>
      </c>
      <c r="F412" s="2">
        <v>912</v>
      </c>
      <c r="G412" t="str">
        <f>_xlfn.XLOOKUP(C412,products!A:A,products!B:B)</f>
        <v>Orange</v>
      </c>
      <c r="H412" t="str">
        <f>_xlfn.XLOOKUP(D412,stores!A:A,stores!B:B)</f>
        <v>Bitola</v>
      </c>
      <c r="I412" t="str">
        <f t="shared" si="12"/>
        <v>NORMAL</v>
      </c>
      <c r="J412" s="4" t="str">
        <f t="shared" si="13"/>
        <v>7</v>
      </c>
    </row>
    <row r="413" spans="1:10">
      <c r="A413" s="2">
        <v>412</v>
      </c>
      <c r="B413" s="3">
        <v>46233</v>
      </c>
      <c r="C413" s="2">
        <v>3</v>
      </c>
      <c r="D413" s="2">
        <v>2</v>
      </c>
      <c r="E413" s="2">
        <v>9.8</v>
      </c>
      <c r="F413" s="2">
        <v>784</v>
      </c>
      <c r="G413" t="str">
        <f>_xlfn.XLOOKUP(C413,products!A:A,products!B:B)</f>
        <v>Orange</v>
      </c>
      <c r="H413" t="str">
        <f>_xlfn.XLOOKUP(D413,stores!A:A,stores!B:B)</f>
        <v>Ohrid</v>
      </c>
      <c r="I413" t="str">
        <f t="shared" si="12"/>
        <v>NORMAL</v>
      </c>
      <c r="J413" s="4" t="str">
        <f t="shared" si="13"/>
        <v>7</v>
      </c>
    </row>
    <row r="414" spans="1:10">
      <c r="A414" s="2">
        <v>413</v>
      </c>
      <c r="B414" s="3">
        <v>46233</v>
      </c>
      <c r="C414" s="2">
        <v>4</v>
      </c>
      <c r="D414" s="2">
        <v>1</v>
      </c>
      <c r="E414" s="2">
        <v>65.3</v>
      </c>
      <c r="F414" s="2">
        <v>1632</v>
      </c>
      <c r="G414" t="str">
        <f>_xlfn.XLOOKUP(C414,products!A:A,products!B:B)</f>
        <v>Watermelon</v>
      </c>
      <c r="H414" t="str">
        <f>_xlfn.XLOOKUP(D414,stores!A:A,stores!B:B)</f>
        <v>Bitola</v>
      </c>
      <c r="I414" t="str">
        <f t="shared" si="12"/>
        <v>BIG</v>
      </c>
      <c r="J414" s="4" t="str">
        <f t="shared" si="13"/>
        <v>7</v>
      </c>
    </row>
    <row r="415" spans="1:10">
      <c r="A415" s="2">
        <v>414</v>
      </c>
      <c r="B415" s="3">
        <v>46233</v>
      </c>
      <c r="C415" s="2">
        <v>4</v>
      </c>
      <c r="D415" s="2">
        <v>2</v>
      </c>
      <c r="E415" s="2">
        <v>85.6</v>
      </c>
      <c r="F415" s="2">
        <v>2140</v>
      </c>
      <c r="G415" t="str">
        <f>_xlfn.XLOOKUP(C415,products!A:A,products!B:B)</f>
        <v>Watermelon</v>
      </c>
      <c r="H415" t="str">
        <f>_xlfn.XLOOKUP(D415,stores!A:A,stores!B:B)</f>
        <v>Ohrid</v>
      </c>
      <c r="I415" t="str">
        <f t="shared" si="12"/>
        <v>BIG</v>
      </c>
      <c r="J415" s="4" t="str">
        <f t="shared" si="13"/>
        <v>7</v>
      </c>
    </row>
    <row r="416" spans="1:10">
      <c r="A416" s="2">
        <v>415</v>
      </c>
      <c r="B416" s="3">
        <v>46233</v>
      </c>
      <c r="C416" s="2">
        <v>5</v>
      </c>
      <c r="D416" s="2">
        <v>1</v>
      </c>
      <c r="E416" s="2">
        <v>5.1</v>
      </c>
      <c r="F416" s="2">
        <v>561</v>
      </c>
      <c r="G416" t="str">
        <f>_xlfn.XLOOKUP(C416,products!A:A,products!B:B)</f>
        <v>Grapes</v>
      </c>
      <c r="H416" t="str">
        <f>_xlfn.XLOOKUP(D416,stores!A:A,stores!B:B)</f>
        <v>Bitola</v>
      </c>
      <c r="I416" t="str">
        <f t="shared" si="12"/>
        <v>NORMAL</v>
      </c>
      <c r="J416" s="4" t="str">
        <f t="shared" si="13"/>
        <v>7</v>
      </c>
    </row>
    <row r="417" spans="1:10">
      <c r="A417" s="2">
        <v>416</v>
      </c>
      <c r="B417" s="3">
        <v>46233</v>
      </c>
      <c r="C417" s="2">
        <v>5</v>
      </c>
      <c r="D417" s="2">
        <v>2</v>
      </c>
      <c r="E417" s="2">
        <v>7.3</v>
      </c>
      <c r="F417" s="2">
        <v>803</v>
      </c>
      <c r="G417" t="str">
        <f>_xlfn.XLOOKUP(C417,products!A:A,products!B:B)</f>
        <v>Grapes</v>
      </c>
      <c r="H417" t="str">
        <f>_xlfn.XLOOKUP(D417,stores!A:A,stores!B:B)</f>
        <v>Ohrid</v>
      </c>
      <c r="I417" t="str">
        <f t="shared" si="12"/>
        <v>NORMAL</v>
      </c>
      <c r="J417" s="4" t="str">
        <f t="shared" si="13"/>
        <v>7</v>
      </c>
    </row>
    <row r="418" spans="1:10">
      <c r="A418" s="2">
        <v>417</v>
      </c>
      <c r="B418" s="3">
        <v>46233</v>
      </c>
      <c r="C418" s="2">
        <v>6</v>
      </c>
      <c r="D418" s="2">
        <v>1</v>
      </c>
      <c r="E418" s="2">
        <v>8.1</v>
      </c>
      <c r="F418" s="2">
        <v>1782</v>
      </c>
      <c r="G418" t="str">
        <f>_xlfn.XLOOKUP(C418,products!A:A,products!B:B)</f>
        <v>Strawberry</v>
      </c>
      <c r="H418" t="str">
        <f>_xlfn.XLOOKUP(D418,stores!A:A,stores!B:B)</f>
        <v>Bitola</v>
      </c>
      <c r="I418" t="str">
        <f t="shared" si="12"/>
        <v>NORMAL</v>
      </c>
      <c r="J418" s="4" t="str">
        <f t="shared" si="13"/>
        <v>7</v>
      </c>
    </row>
    <row r="419" spans="1:10">
      <c r="A419" s="2">
        <v>418</v>
      </c>
      <c r="B419" s="3">
        <v>46233</v>
      </c>
      <c r="C419" s="2">
        <v>6</v>
      </c>
      <c r="D419" s="2">
        <v>2</v>
      </c>
      <c r="E419" s="2">
        <v>13.7</v>
      </c>
      <c r="F419" s="2">
        <v>3014</v>
      </c>
      <c r="G419" t="str">
        <f>_xlfn.XLOOKUP(C419,products!A:A,products!B:B)</f>
        <v>Strawberry</v>
      </c>
      <c r="H419" t="str">
        <f>_xlfn.XLOOKUP(D419,stores!A:A,stores!B:B)</f>
        <v>Ohrid</v>
      </c>
      <c r="I419" t="str">
        <f t="shared" si="12"/>
        <v>NORMAL</v>
      </c>
      <c r="J419" s="4" t="str">
        <f t="shared" si="13"/>
        <v>7</v>
      </c>
    </row>
    <row r="420" spans="1:10">
      <c r="A420" s="2">
        <v>419</v>
      </c>
      <c r="B420" s="3">
        <v>46233</v>
      </c>
      <c r="C420" s="2">
        <v>7</v>
      </c>
      <c r="D420" s="2">
        <v>1</v>
      </c>
      <c r="E420" s="2">
        <v>23</v>
      </c>
      <c r="F420" s="2">
        <v>2185</v>
      </c>
      <c r="G420" t="str">
        <f>_xlfn.XLOOKUP(C420,products!A:A,products!B:B)</f>
        <v>Peach</v>
      </c>
      <c r="H420" t="str">
        <f>_xlfn.XLOOKUP(D420,stores!A:A,stores!B:B)</f>
        <v>Bitola</v>
      </c>
      <c r="I420" t="str">
        <f t="shared" si="12"/>
        <v>NORMAL</v>
      </c>
      <c r="J420" s="4" t="str">
        <f t="shared" si="13"/>
        <v>7</v>
      </c>
    </row>
    <row r="421" spans="1:10">
      <c r="A421" s="2">
        <v>420</v>
      </c>
      <c r="B421" s="3">
        <v>46233</v>
      </c>
      <c r="C421" s="2">
        <v>7</v>
      </c>
      <c r="D421" s="2">
        <v>2</v>
      </c>
      <c r="E421" s="2">
        <v>28.9</v>
      </c>
      <c r="F421" s="2">
        <v>2746</v>
      </c>
      <c r="G421" t="str">
        <f>_xlfn.XLOOKUP(C421,products!A:A,products!B:B)</f>
        <v>Peach</v>
      </c>
      <c r="H421" t="str">
        <f>_xlfn.XLOOKUP(D421,stores!A:A,stores!B:B)</f>
        <v>Ohrid</v>
      </c>
      <c r="I421" t="str">
        <f t="shared" si="12"/>
        <v>NORMAL</v>
      </c>
      <c r="J421" s="4" t="str">
        <f t="shared" si="13"/>
        <v>7</v>
      </c>
    </row>
    <row r="422" spans="1:10">
      <c r="A422" s="2">
        <v>421</v>
      </c>
      <c r="B422" s="3">
        <v>46234</v>
      </c>
      <c r="C422" s="2">
        <v>1</v>
      </c>
      <c r="D422" s="2">
        <v>1</v>
      </c>
      <c r="E422" s="2">
        <v>13.6</v>
      </c>
      <c r="F422" s="2">
        <v>816</v>
      </c>
      <c r="G422" t="str">
        <f>_xlfn.XLOOKUP(C422,products!A:A,products!B:B)</f>
        <v>Apple</v>
      </c>
      <c r="H422" t="str">
        <f>_xlfn.XLOOKUP(D422,stores!A:A,stores!B:B)</f>
        <v>Bitola</v>
      </c>
      <c r="I422" t="str">
        <f t="shared" si="12"/>
        <v>NORMAL</v>
      </c>
      <c r="J422" s="4" t="str">
        <f t="shared" si="13"/>
        <v>7</v>
      </c>
    </row>
    <row r="423" spans="1:10">
      <c r="A423" s="2">
        <v>422</v>
      </c>
      <c r="B423" s="3">
        <v>46234</v>
      </c>
      <c r="C423" s="2">
        <v>1</v>
      </c>
      <c r="D423" s="2">
        <v>2</v>
      </c>
      <c r="E423" s="2">
        <v>28.8</v>
      </c>
      <c r="F423" s="2">
        <v>1728</v>
      </c>
      <c r="G423" t="str">
        <f>_xlfn.XLOOKUP(C423,products!A:A,products!B:B)</f>
        <v>Apple</v>
      </c>
      <c r="H423" t="str">
        <f>_xlfn.XLOOKUP(D423,stores!A:A,stores!B:B)</f>
        <v>Ohrid</v>
      </c>
      <c r="I423" t="str">
        <f t="shared" si="12"/>
        <v>NORMAL</v>
      </c>
      <c r="J423" s="4" t="str">
        <f t="shared" si="13"/>
        <v>7</v>
      </c>
    </row>
    <row r="424" spans="1:10">
      <c r="A424" s="2">
        <v>423</v>
      </c>
      <c r="B424" s="3">
        <v>46234</v>
      </c>
      <c r="C424" s="2">
        <v>2</v>
      </c>
      <c r="D424" s="2">
        <v>1</v>
      </c>
      <c r="E424" s="2">
        <v>27.6</v>
      </c>
      <c r="F424" s="2">
        <v>2484</v>
      </c>
      <c r="G424" t="str">
        <f>_xlfn.XLOOKUP(C424,products!A:A,products!B:B)</f>
        <v>Banana</v>
      </c>
      <c r="H424" t="str">
        <f>_xlfn.XLOOKUP(D424,stores!A:A,stores!B:B)</f>
        <v>Bitola</v>
      </c>
      <c r="I424" t="str">
        <f t="shared" si="12"/>
        <v>NORMAL</v>
      </c>
      <c r="J424" s="4" t="str">
        <f t="shared" si="13"/>
        <v>7</v>
      </c>
    </row>
    <row r="425" spans="1:10">
      <c r="A425" s="2">
        <v>424</v>
      </c>
      <c r="B425" s="3">
        <v>46234</v>
      </c>
      <c r="C425" s="2">
        <v>2</v>
      </c>
      <c r="D425" s="2">
        <v>2</v>
      </c>
      <c r="E425" s="2">
        <v>45.2</v>
      </c>
      <c r="F425" s="2">
        <v>4068</v>
      </c>
      <c r="G425" t="str">
        <f>_xlfn.XLOOKUP(C425,products!A:A,products!B:B)</f>
        <v>Banana</v>
      </c>
      <c r="H425" t="str">
        <f>_xlfn.XLOOKUP(D425,stores!A:A,stores!B:B)</f>
        <v>Ohrid</v>
      </c>
      <c r="I425" t="str">
        <f t="shared" si="12"/>
        <v>NORMAL</v>
      </c>
      <c r="J425" s="4" t="str">
        <f t="shared" si="13"/>
        <v>7</v>
      </c>
    </row>
    <row r="426" spans="1:10">
      <c r="A426" s="2">
        <v>425</v>
      </c>
      <c r="B426" s="3">
        <v>46234</v>
      </c>
      <c r="C426" s="2">
        <v>3</v>
      </c>
      <c r="D426" s="2">
        <v>1</v>
      </c>
      <c r="E426" s="2">
        <v>8.5</v>
      </c>
      <c r="F426" s="2">
        <v>680</v>
      </c>
      <c r="G426" t="str">
        <f>_xlfn.XLOOKUP(C426,products!A:A,products!B:B)</f>
        <v>Orange</v>
      </c>
      <c r="H426" t="str">
        <f>_xlfn.XLOOKUP(D426,stores!A:A,stores!B:B)</f>
        <v>Bitola</v>
      </c>
      <c r="I426" t="str">
        <f t="shared" si="12"/>
        <v>NORMAL</v>
      </c>
      <c r="J426" s="4" t="str">
        <f t="shared" si="13"/>
        <v>7</v>
      </c>
    </row>
    <row r="427" spans="1:10">
      <c r="A427" s="2">
        <v>426</v>
      </c>
      <c r="B427" s="3">
        <v>46234</v>
      </c>
      <c r="C427" s="2">
        <v>3</v>
      </c>
      <c r="D427" s="2">
        <v>2</v>
      </c>
      <c r="E427" s="2">
        <v>14.1</v>
      </c>
      <c r="F427" s="2">
        <v>1128</v>
      </c>
      <c r="G427" t="str">
        <f>_xlfn.XLOOKUP(C427,products!A:A,products!B:B)</f>
        <v>Orange</v>
      </c>
      <c r="H427" t="str">
        <f>_xlfn.XLOOKUP(D427,stores!A:A,stores!B:B)</f>
        <v>Ohrid</v>
      </c>
      <c r="I427" t="str">
        <f t="shared" si="12"/>
        <v>NORMAL</v>
      </c>
      <c r="J427" s="4" t="str">
        <f t="shared" si="13"/>
        <v>7</v>
      </c>
    </row>
    <row r="428" spans="1:10">
      <c r="A428" s="2">
        <v>427</v>
      </c>
      <c r="B428" s="3">
        <v>46234</v>
      </c>
      <c r="C428" s="2">
        <v>4</v>
      </c>
      <c r="D428" s="2">
        <v>1</v>
      </c>
      <c r="E428" s="2">
        <v>69.2</v>
      </c>
      <c r="F428" s="2">
        <v>1730</v>
      </c>
      <c r="G428" t="str">
        <f>_xlfn.XLOOKUP(C428,products!A:A,products!B:B)</f>
        <v>Watermelon</v>
      </c>
      <c r="H428" t="str">
        <f>_xlfn.XLOOKUP(D428,stores!A:A,stores!B:B)</f>
        <v>Bitola</v>
      </c>
      <c r="I428" t="str">
        <f t="shared" si="12"/>
        <v>BIG</v>
      </c>
      <c r="J428" s="4" t="str">
        <f t="shared" si="13"/>
        <v>7</v>
      </c>
    </row>
    <row r="429" spans="1:10">
      <c r="A429" s="2">
        <v>428</v>
      </c>
      <c r="B429" s="3">
        <v>46234</v>
      </c>
      <c r="C429" s="2">
        <v>4</v>
      </c>
      <c r="D429" s="2">
        <v>2</v>
      </c>
      <c r="E429" s="2">
        <v>96.3</v>
      </c>
      <c r="F429" s="2">
        <v>2408</v>
      </c>
      <c r="G429" t="str">
        <f>_xlfn.XLOOKUP(C429,products!A:A,products!B:B)</f>
        <v>Watermelon</v>
      </c>
      <c r="H429" t="str">
        <f>_xlfn.XLOOKUP(D429,stores!A:A,stores!B:B)</f>
        <v>Ohrid</v>
      </c>
      <c r="I429" t="str">
        <f t="shared" si="12"/>
        <v>BIG</v>
      </c>
      <c r="J429" s="4" t="str">
        <f t="shared" si="13"/>
        <v>7</v>
      </c>
    </row>
    <row r="430" spans="1:10">
      <c r="A430" s="2">
        <v>429</v>
      </c>
      <c r="B430" s="3">
        <v>46234</v>
      </c>
      <c r="C430" s="2">
        <v>5</v>
      </c>
      <c r="D430" s="2">
        <v>1</v>
      </c>
      <c r="E430" s="2">
        <v>5</v>
      </c>
      <c r="F430" s="2">
        <v>550</v>
      </c>
      <c r="G430" t="str">
        <f>_xlfn.XLOOKUP(C430,products!A:A,products!B:B)</f>
        <v>Grapes</v>
      </c>
      <c r="H430" t="str">
        <f>_xlfn.XLOOKUP(D430,stores!A:A,stores!B:B)</f>
        <v>Bitola</v>
      </c>
      <c r="I430" t="str">
        <f t="shared" si="12"/>
        <v>NORMAL</v>
      </c>
      <c r="J430" s="4" t="str">
        <f t="shared" si="13"/>
        <v>7</v>
      </c>
    </row>
    <row r="431" spans="1:10">
      <c r="A431" s="2">
        <v>430</v>
      </c>
      <c r="B431" s="3">
        <v>46234</v>
      </c>
      <c r="C431" s="2">
        <v>5</v>
      </c>
      <c r="D431" s="2">
        <v>2</v>
      </c>
      <c r="E431" s="2">
        <v>4.6</v>
      </c>
      <c r="F431" s="2">
        <v>506</v>
      </c>
      <c r="G431" t="str">
        <f>_xlfn.XLOOKUP(C431,products!A:A,products!B:B)</f>
        <v>Grapes</v>
      </c>
      <c r="H431" t="str">
        <f>_xlfn.XLOOKUP(D431,stores!A:A,stores!B:B)</f>
        <v>Ohrid</v>
      </c>
      <c r="I431" t="str">
        <f t="shared" si="12"/>
        <v>NORMAL</v>
      </c>
      <c r="J431" s="4" t="str">
        <f t="shared" si="13"/>
        <v>7</v>
      </c>
    </row>
    <row r="432" spans="1:10">
      <c r="A432" s="2">
        <v>431</v>
      </c>
      <c r="B432" s="3">
        <v>46234</v>
      </c>
      <c r="C432" s="2">
        <v>6</v>
      </c>
      <c r="D432" s="2">
        <v>1</v>
      </c>
      <c r="E432" s="2">
        <v>9.3</v>
      </c>
      <c r="F432" s="2">
        <v>2046</v>
      </c>
      <c r="G432" t="str">
        <f>_xlfn.XLOOKUP(C432,products!A:A,products!B:B)</f>
        <v>Strawberry</v>
      </c>
      <c r="H432" t="str">
        <f>_xlfn.XLOOKUP(D432,stores!A:A,stores!B:B)</f>
        <v>Bitola</v>
      </c>
      <c r="I432" t="str">
        <f t="shared" si="12"/>
        <v>NORMAL</v>
      </c>
      <c r="J432" s="4" t="str">
        <f t="shared" si="13"/>
        <v>7</v>
      </c>
    </row>
    <row r="433" spans="1:10">
      <c r="A433" s="2">
        <v>432</v>
      </c>
      <c r="B433" s="3">
        <v>46234</v>
      </c>
      <c r="C433" s="2">
        <v>6</v>
      </c>
      <c r="D433" s="2">
        <v>2</v>
      </c>
      <c r="E433" s="2">
        <v>12.7</v>
      </c>
      <c r="F433" s="2">
        <v>2794</v>
      </c>
      <c r="G433" t="str">
        <f>_xlfn.XLOOKUP(C433,products!A:A,products!B:B)</f>
        <v>Strawberry</v>
      </c>
      <c r="H433" t="str">
        <f>_xlfn.XLOOKUP(D433,stores!A:A,stores!B:B)</f>
        <v>Ohrid</v>
      </c>
      <c r="I433" t="str">
        <f t="shared" si="12"/>
        <v>NORMAL</v>
      </c>
      <c r="J433" s="4" t="str">
        <f t="shared" si="13"/>
        <v>7</v>
      </c>
    </row>
    <row r="434" spans="1:10">
      <c r="A434" s="2">
        <v>433</v>
      </c>
      <c r="B434" s="3">
        <v>46234</v>
      </c>
      <c r="C434" s="2">
        <v>7</v>
      </c>
      <c r="D434" s="2">
        <v>1</v>
      </c>
      <c r="E434" s="2">
        <v>27</v>
      </c>
      <c r="F434" s="2">
        <v>2565</v>
      </c>
      <c r="G434" t="str">
        <f>_xlfn.XLOOKUP(C434,products!A:A,products!B:B)</f>
        <v>Peach</v>
      </c>
      <c r="H434" t="str">
        <f>_xlfn.XLOOKUP(D434,stores!A:A,stores!B:B)</f>
        <v>Bitola</v>
      </c>
      <c r="I434" t="str">
        <f t="shared" si="12"/>
        <v>NORMAL</v>
      </c>
      <c r="J434" s="4" t="str">
        <f t="shared" si="13"/>
        <v>7</v>
      </c>
    </row>
    <row r="435" spans="1:10">
      <c r="A435" s="2">
        <v>434</v>
      </c>
      <c r="B435" s="3">
        <v>46234</v>
      </c>
      <c r="C435" s="2">
        <v>7</v>
      </c>
      <c r="D435" s="2">
        <v>2</v>
      </c>
      <c r="E435" s="2">
        <v>44.7</v>
      </c>
      <c r="F435" s="2">
        <v>4246</v>
      </c>
      <c r="G435" t="str">
        <f>_xlfn.XLOOKUP(C435,products!A:A,products!B:B)</f>
        <v>Peach</v>
      </c>
      <c r="H435" t="str">
        <f>_xlfn.XLOOKUP(D435,stores!A:A,stores!B:B)</f>
        <v>Ohrid</v>
      </c>
      <c r="I435" t="str">
        <f t="shared" si="12"/>
        <v>NORMAL</v>
      </c>
      <c r="J435" s="4" t="str">
        <f t="shared" si="13"/>
        <v>7</v>
      </c>
    </row>
    <row r="436" spans="1:10">
      <c r="A436" s="2">
        <v>435</v>
      </c>
      <c r="B436" s="3">
        <v>46235</v>
      </c>
      <c r="C436" s="2">
        <v>1</v>
      </c>
      <c r="D436" s="2">
        <v>1</v>
      </c>
      <c r="E436" s="2">
        <v>23.4</v>
      </c>
      <c r="F436" s="2">
        <v>1404</v>
      </c>
      <c r="G436" t="str">
        <f>_xlfn.XLOOKUP(C436,products!A:A,products!B:B)</f>
        <v>Apple</v>
      </c>
      <c r="H436" t="str">
        <f>_xlfn.XLOOKUP(D436,stores!A:A,stores!B:B)</f>
        <v>Bitola</v>
      </c>
      <c r="I436" t="str">
        <f t="shared" si="12"/>
        <v>NORMAL</v>
      </c>
      <c r="J436" s="4" t="str">
        <f t="shared" si="13"/>
        <v>8</v>
      </c>
    </row>
    <row r="437" spans="1:10">
      <c r="A437" s="2">
        <v>436</v>
      </c>
      <c r="B437" s="3">
        <v>46235</v>
      </c>
      <c r="C437" s="2">
        <v>1</v>
      </c>
      <c r="D437" s="2">
        <v>2</v>
      </c>
      <c r="E437" s="2">
        <v>37.2</v>
      </c>
      <c r="F437" s="2">
        <v>2232</v>
      </c>
      <c r="G437" t="str">
        <f>_xlfn.XLOOKUP(C437,products!A:A,products!B:B)</f>
        <v>Apple</v>
      </c>
      <c r="H437" t="str">
        <f>_xlfn.XLOOKUP(D437,stores!A:A,stores!B:B)</f>
        <v>Ohrid</v>
      </c>
      <c r="I437" t="str">
        <f t="shared" si="12"/>
        <v>NORMAL</v>
      </c>
      <c r="J437" s="4" t="str">
        <f t="shared" si="13"/>
        <v>8</v>
      </c>
    </row>
    <row r="438" spans="1:10">
      <c r="A438" s="2">
        <v>437</v>
      </c>
      <c r="B438" s="3">
        <v>46235</v>
      </c>
      <c r="C438" s="2">
        <v>2</v>
      </c>
      <c r="D438" s="2">
        <v>1</v>
      </c>
      <c r="E438" s="2">
        <v>30.1</v>
      </c>
      <c r="F438" s="2">
        <v>2709</v>
      </c>
      <c r="G438" t="str">
        <f>_xlfn.XLOOKUP(C438,products!A:A,products!B:B)</f>
        <v>Banana</v>
      </c>
      <c r="H438" t="str">
        <f>_xlfn.XLOOKUP(D438,stores!A:A,stores!B:B)</f>
        <v>Bitola</v>
      </c>
      <c r="I438" t="str">
        <f t="shared" si="12"/>
        <v>NORMAL</v>
      </c>
      <c r="J438" s="4" t="str">
        <f t="shared" si="13"/>
        <v>8</v>
      </c>
    </row>
    <row r="439" spans="1:10">
      <c r="A439" s="2">
        <v>438</v>
      </c>
      <c r="B439" s="3">
        <v>46235</v>
      </c>
      <c r="C439" s="2">
        <v>2</v>
      </c>
      <c r="D439" s="2">
        <v>2</v>
      </c>
      <c r="E439" s="2">
        <v>62.5</v>
      </c>
      <c r="F439" s="2">
        <v>5625</v>
      </c>
      <c r="G439" t="str">
        <f>_xlfn.XLOOKUP(C439,products!A:A,products!B:B)</f>
        <v>Banana</v>
      </c>
      <c r="H439" t="str">
        <f>_xlfn.XLOOKUP(D439,stores!A:A,stores!B:B)</f>
        <v>Ohrid</v>
      </c>
      <c r="I439" t="str">
        <f t="shared" si="12"/>
        <v>BIG</v>
      </c>
      <c r="J439" s="4" t="str">
        <f t="shared" si="13"/>
        <v>8</v>
      </c>
    </row>
    <row r="440" spans="1:10">
      <c r="A440" s="2">
        <v>439</v>
      </c>
      <c r="B440" s="3">
        <v>46235</v>
      </c>
      <c r="C440" s="2">
        <v>3</v>
      </c>
      <c r="D440" s="2">
        <v>1</v>
      </c>
      <c r="E440" s="2">
        <v>7.4</v>
      </c>
      <c r="F440" s="2">
        <v>592</v>
      </c>
      <c r="G440" t="str">
        <f>_xlfn.XLOOKUP(C440,products!A:A,products!B:B)</f>
        <v>Orange</v>
      </c>
      <c r="H440" t="str">
        <f>_xlfn.XLOOKUP(D440,stores!A:A,stores!B:B)</f>
        <v>Bitola</v>
      </c>
      <c r="I440" t="str">
        <f t="shared" si="12"/>
        <v>NORMAL</v>
      </c>
      <c r="J440" s="4" t="str">
        <f t="shared" si="13"/>
        <v>8</v>
      </c>
    </row>
    <row r="441" spans="1:10">
      <c r="A441" s="2">
        <v>440</v>
      </c>
      <c r="B441" s="3">
        <v>46235</v>
      </c>
      <c r="C441" s="2">
        <v>3</v>
      </c>
      <c r="D441" s="2">
        <v>2</v>
      </c>
      <c r="E441" s="2">
        <v>18.5</v>
      </c>
      <c r="F441" s="2">
        <v>1480</v>
      </c>
      <c r="G441" t="str">
        <f>_xlfn.XLOOKUP(C441,products!A:A,products!B:B)</f>
        <v>Orange</v>
      </c>
      <c r="H441" t="str">
        <f>_xlfn.XLOOKUP(D441,stores!A:A,stores!B:B)</f>
        <v>Ohrid</v>
      </c>
      <c r="I441" t="str">
        <f t="shared" si="12"/>
        <v>NORMAL</v>
      </c>
      <c r="J441" s="4" t="str">
        <f t="shared" si="13"/>
        <v>8</v>
      </c>
    </row>
    <row r="442" spans="1:10">
      <c r="A442" s="2">
        <v>441</v>
      </c>
      <c r="B442" s="3">
        <v>46235</v>
      </c>
      <c r="C442" s="2">
        <v>4</v>
      </c>
      <c r="D442" s="2">
        <v>1</v>
      </c>
      <c r="E442" s="2">
        <v>70.6</v>
      </c>
      <c r="F442" s="2">
        <v>1765</v>
      </c>
      <c r="G442" t="str">
        <f>_xlfn.XLOOKUP(C442,products!A:A,products!B:B)</f>
        <v>Watermelon</v>
      </c>
      <c r="H442" t="str">
        <f>_xlfn.XLOOKUP(D442,stores!A:A,stores!B:B)</f>
        <v>Bitola</v>
      </c>
      <c r="I442" t="str">
        <f t="shared" si="12"/>
        <v>BIG</v>
      </c>
      <c r="J442" s="4" t="str">
        <f t="shared" si="13"/>
        <v>8</v>
      </c>
    </row>
    <row r="443" spans="1:10">
      <c r="A443" s="2">
        <v>442</v>
      </c>
      <c r="B443" s="3">
        <v>46235</v>
      </c>
      <c r="C443" s="2">
        <v>4</v>
      </c>
      <c r="D443" s="2">
        <v>2</v>
      </c>
      <c r="E443" s="2">
        <v>72.6</v>
      </c>
      <c r="F443" s="2">
        <v>1815</v>
      </c>
      <c r="G443" t="str">
        <f>_xlfn.XLOOKUP(C443,products!A:A,products!B:B)</f>
        <v>Watermelon</v>
      </c>
      <c r="H443" t="str">
        <f>_xlfn.XLOOKUP(D443,stores!A:A,stores!B:B)</f>
        <v>Ohrid</v>
      </c>
      <c r="I443" t="str">
        <f t="shared" si="12"/>
        <v>BIG</v>
      </c>
      <c r="J443" s="4" t="str">
        <f t="shared" si="13"/>
        <v>8</v>
      </c>
    </row>
    <row r="444" spans="1:10">
      <c r="A444" s="2">
        <v>443</v>
      </c>
      <c r="B444" s="3">
        <v>46235</v>
      </c>
      <c r="C444" s="2">
        <v>5</v>
      </c>
      <c r="D444" s="2">
        <v>1</v>
      </c>
      <c r="E444" s="2">
        <v>11.2</v>
      </c>
      <c r="F444" s="2">
        <v>1232</v>
      </c>
      <c r="G444" t="str">
        <f>_xlfn.XLOOKUP(C444,products!A:A,products!B:B)</f>
        <v>Grapes</v>
      </c>
      <c r="H444" t="str">
        <f>_xlfn.XLOOKUP(D444,stores!A:A,stores!B:B)</f>
        <v>Bitola</v>
      </c>
      <c r="I444" t="str">
        <f t="shared" si="12"/>
        <v>NORMAL</v>
      </c>
      <c r="J444" s="4" t="str">
        <f t="shared" si="13"/>
        <v>8</v>
      </c>
    </row>
    <row r="445" spans="1:10">
      <c r="A445" s="2">
        <v>444</v>
      </c>
      <c r="B445" s="3">
        <v>46235</v>
      </c>
      <c r="C445" s="2">
        <v>5</v>
      </c>
      <c r="D445" s="2">
        <v>2</v>
      </c>
      <c r="E445" s="2">
        <v>20.4</v>
      </c>
      <c r="F445" s="2">
        <v>2244</v>
      </c>
      <c r="G445" t="str">
        <f>_xlfn.XLOOKUP(C445,products!A:A,products!B:B)</f>
        <v>Grapes</v>
      </c>
      <c r="H445" t="str">
        <f>_xlfn.XLOOKUP(D445,stores!A:A,stores!B:B)</f>
        <v>Ohrid</v>
      </c>
      <c r="I445" t="str">
        <f t="shared" si="12"/>
        <v>NORMAL</v>
      </c>
      <c r="J445" s="4" t="str">
        <f t="shared" si="13"/>
        <v>8</v>
      </c>
    </row>
    <row r="446" spans="1:10">
      <c r="A446" s="2">
        <v>445</v>
      </c>
      <c r="B446" s="3">
        <v>46235</v>
      </c>
      <c r="C446" s="2">
        <v>6</v>
      </c>
      <c r="D446" s="2">
        <v>1</v>
      </c>
      <c r="E446" s="2">
        <v>6.1</v>
      </c>
      <c r="F446" s="2">
        <v>1342</v>
      </c>
      <c r="G446" t="str">
        <f>_xlfn.XLOOKUP(C446,products!A:A,products!B:B)</f>
        <v>Strawberry</v>
      </c>
      <c r="H446" t="str">
        <f>_xlfn.XLOOKUP(D446,stores!A:A,stores!B:B)</f>
        <v>Bitola</v>
      </c>
      <c r="I446" t="str">
        <f t="shared" si="12"/>
        <v>NORMAL</v>
      </c>
      <c r="J446" s="4" t="str">
        <f t="shared" si="13"/>
        <v>8</v>
      </c>
    </row>
    <row r="447" spans="1:10">
      <c r="A447" s="2">
        <v>446</v>
      </c>
      <c r="B447" s="3">
        <v>46235</v>
      </c>
      <c r="C447" s="2">
        <v>6</v>
      </c>
      <c r="D447" s="2">
        <v>2</v>
      </c>
      <c r="E447" s="2">
        <v>6.2</v>
      </c>
      <c r="F447" s="2">
        <v>1364</v>
      </c>
      <c r="G447" t="str">
        <f>_xlfn.XLOOKUP(C447,products!A:A,products!B:B)</f>
        <v>Strawberry</v>
      </c>
      <c r="H447" t="str">
        <f>_xlfn.XLOOKUP(D447,stores!A:A,stores!B:B)</f>
        <v>Ohrid</v>
      </c>
      <c r="I447" t="str">
        <f t="shared" si="12"/>
        <v>NORMAL</v>
      </c>
      <c r="J447" s="4" t="str">
        <f t="shared" si="13"/>
        <v>8</v>
      </c>
    </row>
    <row r="448" spans="1:10">
      <c r="A448" s="2">
        <v>447</v>
      </c>
      <c r="B448" s="3">
        <v>46235</v>
      </c>
      <c r="C448" s="2">
        <v>7</v>
      </c>
      <c r="D448" s="2">
        <v>1</v>
      </c>
      <c r="E448" s="2">
        <v>31</v>
      </c>
      <c r="F448" s="2">
        <v>2945</v>
      </c>
      <c r="G448" t="str">
        <f>_xlfn.XLOOKUP(C448,products!A:A,products!B:B)</f>
        <v>Peach</v>
      </c>
      <c r="H448" t="str">
        <f>_xlfn.XLOOKUP(D448,stores!A:A,stores!B:B)</f>
        <v>Bitola</v>
      </c>
      <c r="I448" t="str">
        <f t="shared" si="12"/>
        <v>NORMAL</v>
      </c>
      <c r="J448" s="4" t="str">
        <f t="shared" si="13"/>
        <v>8</v>
      </c>
    </row>
    <row r="449" spans="1:10">
      <c r="A449" s="2">
        <v>448</v>
      </c>
      <c r="B449" s="3">
        <v>46235</v>
      </c>
      <c r="C449" s="2">
        <v>7</v>
      </c>
      <c r="D449" s="2">
        <v>2</v>
      </c>
      <c r="E449" s="2">
        <v>37.4</v>
      </c>
      <c r="F449" s="2">
        <v>3553</v>
      </c>
      <c r="G449" t="str">
        <f>_xlfn.XLOOKUP(C449,products!A:A,products!B:B)</f>
        <v>Peach</v>
      </c>
      <c r="H449" t="str">
        <f>_xlfn.XLOOKUP(D449,stores!A:A,stores!B:B)</f>
        <v>Ohrid</v>
      </c>
      <c r="I449" t="str">
        <f t="shared" si="12"/>
        <v>NORMAL</v>
      </c>
      <c r="J449" s="4" t="str">
        <f t="shared" si="13"/>
        <v>8</v>
      </c>
    </row>
    <row r="450" spans="1:10">
      <c r="A450" s="2">
        <v>449</v>
      </c>
      <c r="B450" s="3">
        <v>46236</v>
      </c>
      <c r="C450" s="2">
        <v>1</v>
      </c>
      <c r="D450" s="2">
        <v>1</v>
      </c>
      <c r="E450" s="2">
        <v>28.1</v>
      </c>
      <c r="F450" s="2">
        <v>1686</v>
      </c>
      <c r="G450" t="str">
        <f>_xlfn.XLOOKUP(C450,products!A:A,products!B:B)</f>
        <v>Apple</v>
      </c>
      <c r="H450" t="str">
        <f>_xlfn.XLOOKUP(D450,stores!A:A,stores!B:B)</f>
        <v>Bitola</v>
      </c>
      <c r="I450" t="str">
        <f t="shared" ref="I450:I513" si="14">IF(E450&gt;50,"BIG","NORMAL")</f>
        <v>NORMAL</v>
      </c>
      <c r="J450" s="4" t="str">
        <f t="shared" ref="J450:J513" si="15">TEXT(B450,"m")</f>
        <v>8</v>
      </c>
    </row>
    <row r="451" spans="1:10">
      <c r="A451" s="2">
        <v>450</v>
      </c>
      <c r="B451" s="3">
        <v>46236</v>
      </c>
      <c r="C451" s="2">
        <v>1</v>
      </c>
      <c r="D451" s="2">
        <v>2</v>
      </c>
      <c r="E451" s="2">
        <v>29.2</v>
      </c>
      <c r="F451" s="2">
        <v>1752</v>
      </c>
      <c r="G451" t="str">
        <f>_xlfn.XLOOKUP(C451,products!A:A,products!B:B)</f>
        <v>Apple</v>
      </c>
      <c r="H451" t="str">
        <f>_xlfn.XLOOKUP(D451,stores!A:A,stores!B:B)</f>
        <v>Ohrid</v>
      </c>
      <c r="I451" t="str">
        <f t="shared" si="14"/>
        <v>NORMAL</v>
      </c>
      <c r="J451" s="4" t="str">
        <f t="shared" si="15"/>
        <v>8</v>
      </c>
    </row>
    <row r="452" spans="1:10">
      <c r="A452" s="2">
        <v>451</v>
      </c>
      <c r="B452" s="3">
        <v>46236</v>
      </c>
      <c r="C452" s="2">
        <v>2</v>
      </c>
      <c r="D452" s="2">
        <v>1</v>
      </c>
      <c r="E452" s="2">
        <v>37.9</v>
      </c>
      <c r="F452" s="2">
        <v>3411</v>
      </c>
      <c r="G452" t="str">
        <f>_xlfn.XLOOKUP(C452,products!A:A,products!B:B)</f>
        <v>Banana</v>
      </c>
      <c r="H452" t="str">
        <f>_xlfn.XLOOKUP(D452,stores!A:A,stores!B:B)</f>
        <v>Bitola</v>
      </c>
      <c r="I452" t="str">
        <f t="shared" si="14"/>
        <v>NORMAL</v>
      </c>
      <c r="J452" s="4" t="str">
        <f t="shared" si="15"/>
        <v>8</v>
      </c>
    </row>
    <row r="453" spans="1:10">
      <c r="A453" s="2">
        <v>452</v>
      </c>
      <c r="B453" s="3">
        <v>46236</v>
      </c>
      <c r="C453" s="2">
        <v>2</v>
      </c>
      <c r="D453" s="2">
        <v>2</v>
      </c>
      <c r="E453" s="2">
        <v>36.1</v>
      </c>
      <c r="F453" s="2">
        <v>3249</v>
      </c>
      <c r="G453" t="str">
        <f>_xlfn.XLOOKUP(C453,products!A:A,products!B:B)</f>
        <v>Banana</v>
      </c>
      <c r="H453" t="str">
        <f>_xlfn.XLOOKUP(D453,stores!A:A,stores!B:B)</f>
        <v>Ohrid</v>
      </c>
      <c r="I453" t="str">
        <f t="shared" si="14"/>
        <v>NORMAL</v>
      </c>
      <c r="J453" s="4" t="str">
        <f t="shared" si="15"/>
        <v>8</v>
      </c>
    </row>
    <row r="454" spans="1:10">
      <c r="A454" s="2">
        <v>453</v>
      </c>
      <c r="B454" s="3">
        <v>46236</v>
      </c>
      <c r="C454" s="2">
        <v>3</v>
      </c>
      <c r="D454" s="2">
        <v>1</v>
      </c>
      <c r="E454" s="2">
        <v>9.5</v>
      </c>
      <c r="F454" s="2">
        <v>760</v>
      </c>
      <c r="G454" t="str">
        <f>_xlfn.XLOOKUP(C454,products!A:A,products!B:B)</f>
        <v>Orange</v>
      </c>
      <c r="H454" t="str">
        <f>_xlfn.XLOOKUP(D454,stores!A:A,stores!B:B)</f>
        <v>Bitola</v>
      </c>
      <c r="I454" t="str">
        <f t="shared" si="14"/>
        <v>NORMAL</v>
      </c>
      <c r="J454" s="4" t="str">
        <f t="shared" si="15"/>
        <v>8</v>
      </c>
    </row>
    <row r="455" spans="1:10">
      <c r="A455" s="2">
        <v>454</v>
      </c>
      <c r="B455" s="3">
        <v>46236</v>
      </c>
      <c r="C455" s="2">
        <v>3</v>
      </c>
      <c r="D455" s="2">
        <v>2</v>
      </c>
      <c r="E455" s="2">
        <v>17.3</v>
      </c>
      <c r="F455" s="2">
        <v>1384</v>
      </c>
      <c r="G455" t="str">
        <f>_xlfn.XLOOKUP(C455,products!A:A,products!B:B)</f>
        <v>Orange</v>
      </c>
      <c r="H455" t="str">
        <f>_xlfn.XLOOKUP(D455,stores!A:A,stores!B:B)</f>
        <v>Ohrid</v>
      </c>
      <c r="I455" t="str">
        <f t="shared" si="14"/>
        <v>NORMAL</v>
      </c>
      <c r="J455" s="4" t="str">
        <f t="shared" si="15"/>
        <v>8</v>
      </c>
    </row>
    <row r="456" spans="1:10">
      <c r="A456" s="2">
        <v>455</v>
      </c>
      <c r="B456" s="3">
        <v>46236</v>
      </c>
      <c r="C456" s="2">
        <v>4</v>
      </c>
      <c r="D456" s="2">
        <v>1</v>
      </c>
      <c r="E456" s="2">
        <v>100.5</v>
      </c>
      <c r="F456" s="2">
        <v>2512</v>
      </c>
      <c r="G456" t="str">
        <f>_xlfn.XLOOKUP(C456,products!A:A,products!B:B)</f>
        <v>Watermelon</v>
      </c>
      <c r="H456" t="str">
        <f>_xlfn.XLOOKUP(D456,stores!A:A,stores!B:B)</f>
        <v>Bitola</v>
      </c>
      <c r="I456" t="str">
        <f t="shared" si="14"/>
        <v>BIG</v>
      </c>
      <c r="J456" s="4" t="str">
        <f t="shared" si="15"/>
        <v>8</v>
      </c>
    </row>
    <row r="457" spans="1:10">
      <c r="A457" s="2">
        <v>456</v>
      </c>
      <c r="B457" s="3">
        <v>46236</v>
      </c>
      <c r="C457" s="2">
        <v>4</v>
      </c>
      <c r="D457" s="2">
        <v>2</v>
      </c>
      <c r="E457" s="2">
        <v>192.7</v>
      </c>
      <c r="F457" s="2">
        <v>4818</v>
      </c>
      <c r="G457" t="str">
        <f>_xlfn.XLOOKUP(C457,products!A:A,products!B:B)</f>
        <v>Watermelon</v>
      </c>
      <c r="H457" t="str">
        <f>_xlfn.XLOOKUP(D457,stores!A:A,stores!B:B)</f>
        <v>Ohrid</v>
      </c>
      <c r="I457" t="str">
        <f t="shared" si="14"/>
        <v>BIG</v>
      </c>
      <c r="J457" s="4" t="str">
        <f t="shared" si="15"/>
        <v>8</v>
      </c>
    </row>
    <row r="458" spans="1:10">
      <c r="A458" s="2">
        <v>457</v>
      </c>
      <c r="B458" s="3">
        <v>46236</v>
      </c>
      <c r="C458" s="2">
        <v>5</v>
      </c>
      <c r="D458" s="2">
        <v>1</v>
      </c>
      <c r="E458" s="2">
        <v>19.2</v>
      </c>
      <c r="F458" s="2">
        <v>2112</v>
      </c>
      <c r="G458" t="str">
        <f>_xlfn.XLOOKUP(C458,products!A:A,products!B:B)</f>
        <v>Grapes</v>
      </c>
      <c r="H458" t="str">
        <f>_xlfn.XLOOKUP(D458,stores!A:A,stores!B:B)</f>
        <v>Bitola</v>
      </c>
      <c r="I458" t="str">
        <f t="shared" si="14"/>
        <v>NORMAL</v>
      </c>
      <c r="J458" s="4" t="str">
        <f t="shared" si="15"/>
        <v>8</v>
      </c>
    </row>
    <row r="459" spans="1:10">
      <c r="A459" s="2">
        <v>458</v>
      </c>
      <c r="B459" s="3">
        <v>46236</v>
      </c>
      <c r="C459" s="2">
        <v>5</v>
      </c>
      <c r="D459" s="2">
        <v>2</v>
      </c>
      <c r="E459" s="2">
        <v>21.3</v>
      </c>
      <c r="F459" s="2">
        <v>2343</v>
      </c>
      <c r="G459" t="str">
        <f>_xlfn.XLOOKUP(C459,products!A:A,products!B:B)</f>
        <v>Grapes</v>
      </c>
      <c r="H459" t="str">
        <f>_xlfn.XLOOKUP(D459,stores!A:A,stores!B:B)</f>
        <v>Ohrid</v>
      </c>
      <c r="I459" t="str">
        <f t="shared" si="14"/>
        <v>NORMAL</v>
      </c>
      <c r="J459" s="4" t="str">
        <f t="shared" si="15"/>
        <v>8</v>
      </c>
    </row>
    <row r="460" spans="1:10">
      <c r="A460" s="2">
        <v>459</v>
      </c>
      <c r="B460" s="3">
        <v>46236</v>
      </c>
      <c r="C460" s="2">
        <v>6</v>
      </c>
      <c r="D460" s="2">
        <v>1</v>
      </c>
      <c r="E460" s="2">
        <v>4.4</v>
      </c>
      <c r="F460" s="2">
        <v>968</v>
      </c>
      <c r="G460" t="str">
        <f>_xlfn.XLOOKUP(C460,products!A:A,products!B:B)</f>
        <v>Strawberry</v>
      </c>
      <c r="H460" t="str">
        <f>_xlfn.XLOOKUP(D460,stores!A:A,stores!B:B)</f>
        <v>Bitola</v>
      </c>
      <c r="I460" t="str">
        <f t="shared" si="14"/>
        <v>NORMAL</v>
      </c>
      <c r="J460" s="4" t="str">
        <f t="shared" si="15"/>
        <v>8</v>
      </c>
    </row>
    <row r="461" spans="1:10">
      <c r="A461" s="2">
        <v>460</v>
      </c>
      <c r="B461" s="3">
        <v>46236</v>
      </c>
      <c r="C461" s="2">
        <v>6</v>
      </c>
      <c r="D461" s="2">
        <v>2</v>
      </c>
      <c r="E461" s="2">
        <v>6.6</v>
      </c>
      <c r="F461" s="2">
        <v>1452</v>
      </c>
      <c r="G461" t="str">
        <f>_xlfn.XLOOKUP(C461,products!A:A,products!B:B)</f>
        <v>Strawberry</v>
      </c>
      <c r="H461" t="str">
        <f>_xlfn.XLOOKUP(D461,stores!A:A,stores!B:B)</f>
        <v>Ohrid</v>
      </c>
      <c r="I461" t="str">
        <f t="shared" si="14"/>
        <v>NORMAL</v>
      </c>
      <c r="J461" s="4" t="str">
        <f t="shared" si="15"/>
        <v>8</v>
      </c>
    </row>
    <row r="462" spans="1:10">
      <c r="A462" s="2">
        <v>461</v>
      </c>
      <c r="B462" s="3">
        <v>46236</v>
      </c>
      <c r="C462" s="2">
        <v>7</v>
      </c>
      <c r="D462" s="2">
        <v>1</v>
      </c>
      <c r="E462" s="2">
        <v>37.2</v>
      </c>
      <c r="F462" s="2">
        <v>3534</v>
      </c>
      <c r="G462" t="str">
        <f>_xlfn.XLOOKUP(C462,products!A:A,products!B:B)</f>
        <v>Peach</v>
      </c>
      <c r="H462" t="str">
        <f>_xlfn.XLOOKUP(D462,stores!A:A,stores!B:B)</f>
        <v>Bitola</v>
      </c>
      <c r="I462" t="str">
        <f t="shared" si="14"/>
        <v>NORMAL</v>
      </c>
      <c r="J462" s="4" t="str">
        <f t="shared" si="15"/>
        <v>8</v>
      </c>
    </row>
    <row r="463" spans="1:10">
      <c r="A463" s="2">
        <v>462</v>
      </c>
      <c r="B463" s="3">
        <v>46236</v>
      </c>
      <c r="C463" s="2">
        <v>7</v>
      </c>
      <c r="D463" s="2">
        <v>2</v>
      </c>
      <c r="E463" s="2">
        <v>52.5</v>
      </c>
      <c r="F463" s="2">
        <v>4988</v>
      </c>
      <c r="G463" t="str">
        <f>_xlfn.XLOOKUP(C463,products!A:A,products!B:B)</f>
        <v>Peach</v>
      </c>
      <c r="H463" t="str">
        <f>_xlfn.XLOOKUP(D463,stores!A:A,stores!B:B)</f>
        <v>Ohrid</v>
      </c>
      <c r="I463" t="str">
        <f t="shared" si="14"/>
        <v>BIG</v>
      </c>
      <c r="J463" s="4" t="str">
        <f t="shared" si="15"/>
        <v>8</v>
      </c>
    </row>
    <row r="464" spans="1:10">
      <c r="A464" s="2">
        <v>463</v>
      </c>
      <c r="B464" s="3">
        <v>46237</v>
      </c>
      <c r="C464" s="2">
        <v>1</v>
      </c>
      <c r="D464" s="2">
        <v>1</v>
      </c>
      <c r="E464" s="2">
        <v>19.5</v>
      </c>
      <c r="F464" s="2">
        <v>1170</v>
      </c>
      <c r="G464" t="str">
        <f>_xlfn.XLOOKUP(C464,products!A:A,products!B:B)</f>
        <v>Apple</v>
      </c>
      <c r="H464" t="str">
        <f>_xlfn.XLOOKUP(D464,stores!A:A,stores!B:B)</f>
        <v>Bitola</v>
      </c>
      <c r="I464" t="str">
        <f t="shared" si="14"/>
        <v>NORMAL</v>
      </c>
      <c r="J464" s="4" t="str">
        <f t="shared" si="15"/>
        <v>8</v>
      </c>
    </row>
    <row r="465" spans="1:10">
      <c r="A465" s="2">
        <v>464</v>
      </c>
      <c r="B465" s="3">
        <v>46237</v>
      </c>
      <c r="C465" s="2">
        <v>1</v>
      </c>
      <c r="D465" s="2">
        <v>2</v>
      </c>
      <c r="E465" s="2">
        <v>35.2</v>
      </c>
      <c r="F465" s="2">
        <v>2112</v>
      </c>
      <c r="G465" t="str">
        <f>_xlfn.XLOOKUP(C465,products!A:A,products!B:B)</f>
        <v>Apple</v>
      </c>
      <c r="H465" t="str">
        <f>_xlfn.XLOOKUP(D465,stores!A:A,stores!B:B)</f>
        <v>Ohrid</v>
      </c>
      <c r="I465" t="str">
        <f t="shared" si="14"/>
        <v>NORMAL</v>
      </c>
      <c r="J465" s="4" t="str">
        <f t="shared" si="15"/>
        <v>8</v>
      </c>
    </row>
    <row r="466" spans="1:10">
      <c r="A466" s="2">
        <v>465</v>
      </c>
      <c r="B466" s="3">
        <v>46237</v>
      </c>
      <c r="C466" s="2">
        <v>2</v>
      </c>
      <c r="D466" s="2">
        <v>1</v>
      </c>
      <c r="E466" s="2">
        <v>21.5</v>
      </c>
      <c r="F466" s="2">
        <v>1935</v>
      </c>
      <c r="G466" t="str">
        <f>_xlfn.XLOOKUP(C466,products!A:A,products!B:B)</f>
        <v>Banana</v>
      </c>
      <c r="H466" t="str">
        <f>_xlfn.XLOOKUP(D466,stores!A:A,stores!B:B)</f>
        <v>Bitola</v>
      </c>
      <c r="I466" t="str">
        <f t="shared" si="14"/>
        <v>NORMAL</v>
      </c>
      <c r="J466" s="4" t="str">
        <f t="shared" si="15"/>
        <v>8</v>
      </c>
    </row>
    <row r="467" spans="1:10">
      <c r="A467" s="2">
        <v>466</v>
      </c>
      <c r="B467" s="3">
        <v>46237</v>
      </c>
      <c r="C467" s="2">
        <v>2</v>
      </c>
      <c r="D467" s="2">
        <v>2</v>
      </c>
      <c r="E467" s="2">
        <v>35</v>
      </c>
      <c r="F467" s="2">
        <v>3150</v>
      </c>
      <c r="G467" t="str">
        <f>_xlfn.XLOOKUP(C467,products!A:A,products!B:B)</f>
        <v>Banana</v>
      </c>
      <c r="H467" t="str">
        <f>_xlfn.XLOOKUP(D467,stores!A:A,stores!B:B)</f>
        <v>Ohrid</v>
      </c>
      <c r="I467" t="str">
        <f t="shared" si="14"/>
        <v>NORMAL</v>
      </c>
      <c r="J467" s="4" t="str">
        <f t="shared" si="15"/>
        <v>8</v>
      </c>
    </row>
    <row r="468" spans="1:10">
      <c r="A468" s="2">
        <v>467</v>
      </c>
      <c r="B468" s="3">
        <v>46237</v>
      </c>
      <c r="C468" s="2">
        <v>3</v>
      </c>
      <c r="D468" s="2">
        <v>1</v>
      </c>
      <c r="E468" s="2">
        <v>9.3</v>
      </c>
      <c r="F468" s="2">
        <v>744</v>
      </c>
      <c r="G468" t="str">
        <f>_xlfn.XLOOKUP(C468,products!A:A,products!B:B)</f>
        <v>Orange</v>
      </c>
      <c r="H468" t="str">
        <f>_xlfn.XLOOKUP(D468,stores!A:A,stores!B:B)</f>
        <v>Bitola</v>
      </c>
      <c r="I468" t="str">
        <f t="shared" si="14"/>
        <v>NORMAL</v>
      </c>
      <c r="J468" s="4" t="str">
        <f t="shared" si="15"/>
        <v>8</v>
      </c>
    </row>
    <row r="469" spans="1:10">
      <c r="A469" s="2">
        <v>468</v>
      </c>
      <c r="B469" s="3">
        <v>46237</v>
      </c>
      <c r="C469" s="2">
        <v>3</v>
      </c>
      <c r="D469" s="2">
        <v>2</v>
      </c>
      <c r="E469" s="2">
        <v>17.6</v>
      </c>
      <c r="F469" s="2">
        <v>1408</v>
      </c>
      <c r="G469" t="str">
        <f>_xlfn.XLOOKUP(C469,products!A:A,products!B:B)</f>
        <v>Orange</v>
      </c>
      <c r="H469" t="str">
        <f>_xlfn.XLOOKUP(D469,stores!A:A,stores!B:B)</f>
        <v>Ohrid</v>
      </c>
      <c r="I469" t="str">
        <f t="shared" si="14"/>
        <v>NORMAL</v>
      </c>
      <c r="J469" s="4" t="str">
        <f t="shared" si="15"/>
        <v>8</v>
      </c>
    </row>
    <row r="470" spans="1:10">
      <c r="A470" s="2">
        <v>469</v>
      </c>
      <c r="B470" s="3">
        <v>46237</v>
      </c>
      <c r="C470" s="2">
        <v>4</v>
      </c>
      <c r="D470" s="2">
        <v>1</v>
      </c>
      <c r="E470" s="2">
        <v>78.4</v>
      </c>
      <c r="F470" s="2">
        <v>1960</v>
      </c>
      <c r="G470" t="str">
        <f>_xlfn.XLOOKUP(C470,products!A:A,products!B:B)</f>
        <v>Watermelon</v>
      </c>
      <c r="H470" t="str">
        <f>_xlfn.XLOOKUP(D470,stores!A:A,stores!B:B)</f>
        <v>Bitola</v>
      </c>
      <c r="I470" t="str">
        <f t="shared" si="14"/>
        <v>BIG</v>
      </c>
      <c r="J470" s="4" t="str">
        <f t="shared" si="15"/>
        <v>8</v>
      </c>
    </row>
    <row r="471" spans="1:10">
      <c r="A471" s="2">
        <v>470</v>
      </c>
      <c r="B471" s="3">
        <v>46237</v>
      </c>
      <c r="C471" s="2">
        <v>4</v>
      </c>
      <c r="D471" s="2">
        <v>2</v>
      </c>
      <c r="E471" s="2">
        <v>111.6</v>
      </c>
      <c r="F471" s="2">
        <v>2790</v>
      </c>
      <c r="G471" t="str">
        <f>_xlfn.XLOOKUP(C471,products!A:A,products!B:B)</f>
        <v>Watermelon</v>
      </c>
      <c r="H471" t="str">
        <f>_xlfn.XLOOKUP(D471,stores!A:A,stores!B:B)</f>
        <v>Ohrid</v>
      </c>
      <c r="I471" t="str">
        <f t="shared" si="14"/>
        <v>BIG</v>
      </c>
      <c r="J471" s="4" t="str">
        <f t="shared" si="15"/>
        <v>8</v>
      </c>
    </row>
    <row r="472" spans="1:10">
      <c r="A472" s="2">
        <v>471</v>
      </c>
      <c r="B472" s="3">
        <v>46237</v>
      </c>
      <c r="C472" s="2">
        <v>5</v>
      </c>
      <c r="D472" s="2">
        <v>1</v>
      </c>
      <c r="E472" s="2">
        <v>11.9</v>
      </c>
      <c r="F472" s="2">
        <v>1309</v>
      </c>
      <c r="G472" t="str">
        <f>_xlfn.XLOOKUP(C472,products!A:A,products!B:B)</f>
        <v>Grapes</v>
      </c>
      <c r="H472" t="str">
        <f>_xlfn.XLOOKUP(D472,stores!A:A,stores!B:B)</f>
        <v>Bitola</v>
      </c>
      <c r="I472" t="str">
        <f t="shared" si="14"/>
        <v>NORMAL</v>
      </c>
      <c r="J472" s="4" t="str">
        <f t="shared" si="15"/>
        <v>8</v>
      </c>
    </row>
    <row r="473" spans="1:10">
      <c r="A473" s="2">
        <v>472</v>
      </c>
      <c r="B473" s="3">
        <v>46237</v>
      </c>
      <c r="C473" s="2">
        <v>5</v>
      </c>
      <c r="D473" s="2">
        <v>2</v>
      </c>
      <c r="E473" s="2">
        <v>25.6</v>
      </c>
      <c r="F473" s="2">
        <v>2816</v>
      </c>
      <c r="G473" t="str">
        <f>_xlfn.XLOOKUP(C473,products!A:A,products!B:B)</f>
        <v>Grapes</v>
      </c>
      <c r="H473" t="str">
        <f>_xlfn.XLOOKUP(D473,stores!A:A,stores!B:B)</f>
        <v>Ohrid</v>
      </c>
      <c r="I473" t="str">
        <f t="shared" si="14"/>
        <v>NORMAL</v>
      </c>
      <c r="J473" s="4" t="str">
        <f t="shared" si="15"/>
        <v>8</v>
      </c>
    </row>
    <row r="474" spans="1:10">
      <c r="A474" s="2">
        <v>473</v>
      </c>
      <c r="B474" s="3">
        <v>46237</v>
      </c>
      <c r="C474" s="2">
        <v>6</v>
      </c>
      <c r="D474" s="2">
        <v>1</v>
      </c>
      <c r="E474" s="2">
        <v>3.5</v>
      </c>
      <c r="F474" s="2">
        <v>770</v>
      </c>
      <c r="G474" t="str">
        <f>_xlfn.XLOOKUP(C474,products!A:A,products!B:B)</f>
        <v>Strawberry</v>
      </c>
      <c r="H474" t="str">
        <f>_xlfn.XLOOKUP(D474,stores!A:A,stores!B:B)</f>
        <v>Bitola</v>
      </c>
      <c r="I474" t="str">
        <f t="shared" si="14"/>
        <v>NORMAL</v>
      </c>
      <c r="J474" s="4" t="str">
        <f t="shared" si="15"/>
        <v>8</v>
      </c>
    </row>
    <row r="475" spans="1:10">
      <c r="A475" s="2">
        <v>474</v>
      </c>
      <c r="B475" s="3">
        <v>46237</v>
      </c>
      <c r="C475" s="2">
        <v>6</v>
      </c>
      <c r="D475" s="2">
        <v>2</v>
      </c>
      <c r="E475" s="2">
        <v>6.4</v>
      </c>
      <c r="F475" s="2">
        <v>1408</v>
      </c>
      <c r="G475" t="str">
        <f>_xlfn.XLOOKUP(C475,products!A:A,products!B:B)</f>
        <v>Strawberry</v>
      </c>
      <c r="H475" t="str">
        <f>_xlfn.XLOOKUP(D475,stores!A:A,stores!B:B)</f>
        <v>Ohrid</v>
      </c>
      <c r="I475" t="str">
        <f t="shared" si="14"/>
        <v>NORMAL</v>
      </c>
      <c r="J475" s="4" t="str">
        <f t="shared" si="15"/>
        <v>8</v>
      </c>
    </row>
    <row r="476" spans="1:10">
      <c r="A476" s="2">
        <v>475</v>
      </c>
      <c r="B476" s="3">
        <v>46237</v>
      </c>
      <c r="C476" s="2">
        <v>7</v>
      </c>
      <c r="D476" s="2">
        <v>1</v>
      </c>
      <c r="E476" s="2">
        <v>16.1</v>
      </c>
      <c r="F476" s="2">
        <v>1530</v>
      </c>
      <c r="G476" t="str">
        <f>_xlfn.XLOOKUP(C476,products!A:A,products!B:B)</f>
        <v>Peach</v>
      </c>
      <c r="H476" t="str">
        <f>_xlfn.XLOOKUP(D476,stores!A:A,stores!B:B)</f>
        <v>Bitola</v>
      </c>
      <c r="I476" t="str">
        <f t="shared" si="14"/>
        <v>NORMAL</v>
      </c>
      <c r="J476" s="4" t="str">
        <f t="shared" si="15"/>
        <v>8</v>
      </c>
    </row>
    <row r="477" spans="1:10">
      <c r="A477" s="2">
        <v>476</v>
      </c>
      <c r="B477" s="3">
        <v>46237</v>
      </c>
      <c r="C477" s="2">
        <v>7</v>
      </c>
      <c r="D477" s="2">
        <v>2</v>
      </c>
      <c r="E477" s="2">
        <v>47.1</v>
      </c>
      <c r="F477" s="2">
        <v>4474</v>
      </c>
      <c r="G477" t="str">
        <f>_xlfn.XLOOKUP(C477,products!A:A,products!B:B)</f>
        <v>Peach</v>
      </c>
      <c r="H477" t="str">
        <f>_xlfn.XLOOKUP(D477,stores!A:A,stores!B:B)</f>
        <v>Ohrid</v>
      </c>
      <c r="I477" t="str">
        <f t="shared" si="14"/>
        <v>NORMAL</v>
      </c>
      <c r="J477" s="4" t="str">
        <f t="shared" si="15"/>
        <v>8</v>
      </c>
    </row>
    <row r="478" spans="1:10">
      <c r="A478" s="2">
        <v>477</v>
      </c>
      <c r="B478" s="3">
        <v>46238</v>
      </c>
      <c r="C478" s="2">
        <v>1</v>
      </c>
      <c r="D478" s="2">
        <v>1</v>
      </c>
      <c r="E478" s="2">
        <v>14.7</v>
      </c>
      <c r="F478" s="2">
        <v>882</v>
      </c>
      <c r="G478" t="str">
        <f>_xlfn.XLOOKUP(C478,products!A:A,products!B:B)</f>
        <v>Apple</v>
      </c>
      <c r="H478" t="str">
        <f>_xlfn.XLOOKUP(D478,stores!A:A,stores!B:B)</f>
        <v>Bitola</v>
      </c>
      <c r="I478" t="str">
        <f t="shared" si="14"/>
        <v>NORMAL</v>
      </c>
      <c r="J478" s="4" t="str">
        <f t="shared" si="15"/>
        <v>8</v>
      </c>
    </row>
    <row r="479" spans="1:10">
      <c r="A479" s="2">
        <v>478</v>
      </c>
      <c r="B479" s="3">
        <v>46238</v>
      </c>
      <c r="C479" s="2">
        <v>1</v>
      </c>
      <c r="D479" s="2">
        <v>2</v>
      </c>
      <c r="E479" s="2">
        <v>25.3</v>
      </c>
      <c r="F479" s="2">
        <v>1518</v>
      </c>
      <c r="G479" t="str">
        <f>_xlfn.XLOOKUP(C479,products!A:A,products!B:B)</f>
        <v>Apple</v>
      </c>
      <c r="H479" t="str">
        <f>_xlfn.XLOOKUP(D479,stores!A:A,stores!B:B)</f>
        <v>Ohrid</v>
      </c>
      <c r="I479" t="str">
        <f t="shared" si="14"/>
        <v>NORMAL</v>
      </c>
      <c r="J479" s="4" t="str">
        <f t="shared" si="15"/>
        <v>8</v>
      </c>
    </row>
    <row r="480" spans="1:10">
      <c r="A480" s="2">
        <v>479</v>
      </c>
      <c r="B480" s="3">
        <v>46238</v>
      </c>
      <c r="C480" s="2">
        <v>2</v>
      </c>
      <c r="D480" s="2">
        <v>1</v>
      </c>
      <c r="E480" s="2">
        <v>29.1</v>
      </c>
      <c r="F480" s="2">
        <v>2619</v>
      </c>
      <c r="G480" t="str">
        <f>_xlfn.XLOOKUP(C480,products!A:A,products!B:B)</f>
        <v>Banana</v>
      </c>
      <c r="H480" t="str">
        <f>_xlfn.XLOOKUP(D480,stores!A:A,stores!B:B)</f>
        <v>Bitola</v>
      </c>
      <c r="I480" t="str">
        <f t="shared" si="14"/>
        <v>NORMAL</v>
      </c>
      <c r="J480" s="4" t="str">
        <f t="shared" si="15"/>
        <v>8</v>
      </c>
    </row>
    <row r="481" spans="1:10">
      <c r="A481" s="2">
        <v>480</v>
      </c>
      <c r="B481" s="3">
        <v>46238</v>
      </c>
      <c r="C481" s="2">
        <v>2</v>
      </c>
      <c r="D481" s="2">
        <v>2</v>
      </c>
      <c r="E481" s="2">
        <v>26.4</v>
      </c>
      <c r="F481" s="2">
        <v>2376</v>
      </c>
      <c r="G481" t="str">
        <f>_xlfn.XLOOKUP(C481,products!A:A,products!B:B)</f>
        <v>Banana</v>
      </c>
      <c r="H481" t="str">
        <f>_xlfn.XLOOKUP(D481,stores!A:A,stores!B:B)</f>
        <v>Ohrid</v>
      </c>
      <c r="I481" t="str">
        <f t="shared" si="14"/>
        <v>NORMAL</v>
      </c>
      <c r="J481" s="4" t="str">
        <f t="shared" si="15"/>
        <v>8</v>
      </c>
    </row>
    <row r="482" spans="1:10">
      <c r="A482" s="2">
        <v>481</v>
      </c>
      <c r="B482" s="3">
        <v>46238</v>
      </c>
      <c r="C482" s="2">
        <v>3</v>
      </c>
      <c r="D482" s="2">
        <v>1</v>
      </c>
      <c r="E482" s="2">
        <v>8.9</v>
      </c>
      <c r="F482" s="2">
        <v>712</v>
      </c>
      <c r="G482" t="str">
        <f>_xlfn.XLOOKUP(C482,products!A:A,products!B:B)</f>
        <v>Orange</v>
      </c>
      <c r="H482" t="str">
        <f>_xlfn.XLOOKUP(D482,stores!A:A,stores!B:B)</f>
        <v>Bitola</v>
      </c>
      <c r="I482" t="str">
        <f t="shared" si="14"/>
        <v>NORMAL</v>
      </c>
      <c r="J482" s="4" t="str">
        <f t="shared" si="15"/>
        <v>8</v>
      </c>
    </row>
    <row r="483" spans="1:10">
      <c r="A483" s="2">
        <v>482</v>
      </c>
      <c r="B483" s="3">
        <v>46238</v>
      </c>
      <c r="C483" s="2">
        <v>3</v>
      </c>
      <c r="D483" s="2">
        <v>2</v>
      </c>
      <c r="E483" s="2">
        <v>13.7</v>
      </c>
      <c r="F483" s="2">
        <v>1096</v>
      </c>
      <c r="G483" t="str">
        <f>_xlfn.XLOOKUP(C483,products!A:A,products!B:B)</f>
        <v>Orange</v>
      </c>
      <c r="H483" t="str">
        <f>_xlfn.XLOOKUP(D483,stores!A:A,stores!B:B)</f>
        <v>Ohrid</v>
      </c>
      <c r="I483" t="str">
        <f t="shared" si="14"/>
        <v>NORMAL</v>
      </c>
      <c r="J483" s="4" t="str">
        <f t="shared" si="15"/>
        <v>8</v>
      </c>
    </row>
    <row r="484" spans="1:10">
      <c r="A484" s="2">
        <v>483</v>
      </c>
      <c r="B484" s="3">
        <v>46238</v>
      </c>
      <c r="C484" s="2">
        <v>4</v>
      </c>
      <c r="D484" s="2">
        <v>1</v>
      </c>
      <c r="E484" s="2">
        <v>64</v>
      </c>
      <c r="F484" s="2">
        <v>1600</v>
      </c>
      <c r="G484" t="str">
        <f>_xlfn.XLOOKUP(C484,products!A:A,products!B:B)</f>
        <v>Watermelon</v>
      </c>
      <c r="H484" t="str">
        <f>_xlfn.XLOOKUP(D484,stores!A:A,stores!B:B)</f>
        <v>Bitola</v>
      </c>
      <c r="I484" t="str">
        <f t="shared" si="14"/>
        <v>BIG</v>
      </c>
      <c r="J484" s="4" t="str">
        <f t="shared" si="15"/>
        <v>8</v>
      </c>
    </row>
    <row r="485" spans="1:10">
      <c r="A485" s="2">
        <v>484</v>
      </c>
      <c r="B485" s="3">
        <v>46238</v>
      </c>
      <c r="C485" s="2">
        <v>4</v>
      </c>
      <c r="D485" s="2">
        <v>2</v>
      </c>
      <c r="E485" s="2">
        <v>152.2</v>
      </c>
      <c r="F485" s="2">
        <v>3805</v>
      </c>
      <c r="G485" t="str">
        <f>_xlfn.XLOOKUP(C485,products!A:A,products!B:B)</f>
        <v>Watermelon</v>
      </c>
      <c r="H485" t="str">
        <f>_xlfn.XLOOKUP(D485,stores!A:A,stores!B:B)</f>
        <v>Ohrid</v>
      </c>
      <c r="I485" t="str">
        <f t="shared" si="14"/>
        <v>BIG</v>
      </c>
      <c r="J485" s="4" t="str">
        <f t="shared" si="15"/>
        <v>8</v>
      </c>
    </row>
    <row r="486" spans="1:10">
      <c r="A486" s="2">
        <v>485</v>
      </c>
      <c r="B486" s="3">
        <v>46238</v>
      </c>
      <c r="C486" s="2">
        <v>5</v>
      </c>
      <c r="D486" s="2">
        <v>1</v>
      </c>
      <c r="E486" s="2">
        <v>19.5</v>
      </c>
      <c r="F486" s="2">
        <v>2145</v>
      </c>
      <c r="G486" t="str">
        <f>_xlfn.XLOOKUP(C486,products!A:A,products!B:B)</f>
        <v>Grapes</v>
      </c>
      <c r="H486" t="str">
        <f>_xlfn.XLOOKUP(D486,stores!A:A,stores!B:B)</f>
        <v>Bitola</v>
      </c>
      <c r="I486" t="str">
        <f t="shared" si="14"/>
        <v>NORMAL</v>
      </c>
      <c r="J486" s="4" t="str">
        <f t="shared" si="15"/>
        <v>8</v>
      </c>
    </row>
    <row r="487" spans="1:10">
      <c r="A487" s="2">
        <v>486</v>
      </c>
      <c r="B487" s="3">
        <v>46238</v>
      </c>
      <c r="C487" s="2">
        <v>5</v>
      </c>
      <c r="D487" s="2">
        <v>2</v>
      </c>
      <c r="E487" s="2">
        <v>13.6</v>
      </c>
      <c r="F487" s="2">
        <v>1496</v>
      </c>
      <c r="G487" t="str">
        <f>_xlfn.XLOOKUP(C487,products!A:A,products!B:B)</f>
        <v>Grapes</v>
      </c>
      <c r="H487" t="str">
        <f>_xlfn.XLOOKUP(D487,stores!A:A,stores!B:B)</f>
        <v>Ohrid</v>
      </c>
      <c r="I487" t="str">
        <f t="shared" si="14"/>
        <v>NORMAL</v>
      </c>
      <c r="J487" s="4" t="str">
        <f t="shared" si="15"/>
        <v>8</v>
      </c>
    </row>
    <row r="488" spans="1:10">
      <c r="A488" s="2">
        <v>487</v>
      </c>
      <c r="B488" s="3">
        <v>46238</v>
      </c>
      <c r="C488" s="2">
        <v>6</v>
      </c>
      <c r="D488" s="2">
        <v>1</v>
      </c>
      <c r="E488" s="2">
        <v>2.8</v>
      </c>
      <c r="F488" s="2">
        <v>616</v>
      </c>
      <c r="G488" t="str">
        <f>_xlfn.XLOOKUP(C488,products!A:A,products!B:B)</f>
        <v>Strawberry</v>
      </c>
      <c r="H488" t="str">
        <f>_xlfn.XLOOKUP(D488,stores!A:A,stores!B:B)</f>
        <v>Bitola</v>
      </c>
      <c r="I488" t="str">
        <f t="shared" si="14"/>
        <v>NORMAL</v>
      </c>
      <c r="J488" s="4" t="str">
        <f t="shared" si="15"/>
        <v>8</v>
      </c>
    </row>
    <row r="489" spans="1:10">
      <c r="A489" s="2">
        <v>488</v>
      </c>
      <c r="B489" s="3">
        <v>46238</v>
      </c>
      <c r="C489" s="2">
        <v>6</v>
      </c>
      <c r="D489" s="2">
        <v>2</v>
      </c>
      <c r="E489" s="2">
        <v>7</v>
      </c>
      <c r="F489" s="2">
        <v>1540</v>
      </c>
      <c r="G489" t="str">
        <f>_xlfn.XLOOKUP(C489,products!A:A,products!B:B)</f>
        <v>Strawberry</v>
      </c>
      <c r="H489" t="str">
        <f>_xlfn.XLOOKUP(D489,stores!A:A,stores!B:B)</f>
        <v>Ohrid</v>
      </c>
      <c r="I489" t="str">
        <f t="shared" si="14"/>
        <v>NORMAL</v>
      </c>
      <c r="J489" s="4" t="str">
        <f t="shared" si="15"/>
        <v>8</v>
      </c>
    </row>
    <row r="490" spans="1:10">
      <c r="A490" s="2">
        <v>489</v>
      </c>
      <c r="B490" s="3">
        <v>46238</v>
      </c>
      <c r="C490" s="2">
        <v>7</v>
      </c>
      <c r="D490" s="2">
        <v>1</v>
      </c>
      <c r="E490" s="2">
        <v>19.2</v>
      </c>
      <c r="F490" s="2">
        <v>1824</v>
      </c>
      <c r="G490" t="str">
        <f>_xlfn.XLOOKUP(C490,products!A:A,products!B:B)</f>
        <v>Peach</v>
      </c>
      <c r="H490" t="str">
        <f>_xlfn.XLOOKUP(D490,stores!A:A,stores!B:B)</f>
        <v>Bitola</v>
      </c>
      <c r="I490" t="str">
        <f t="shared" si="14"/>
        <v>NORMAL</v>
      </c>
      <c r="J490" s="4" t="str">
        <f t="shared" si="15"/>
        <v>8</v>
      </c>
    </row>
    <row r="491" spans="1:10">
      <c r="A491" s="2">
        <v>490</v>
      </c>
      <c r="B491" s="3">
        <v>46238</v>
      </c>
      <c r="C491" s="2">
        <v>7</v>
      </c>
      <c r="D491" s="2">
        <v>2</v>
      </c>
      <c r="E491" s="2">
        <v>36</v>
      </c>
      <c r="F491" s="2">
        <v>3420</v>
      </c>
      <c r="G491" t="str">
        <f>_xlfn.XLOOKUP(C491,products!A:A,products!B:B)</f>
        <v>Peach</v>
      </c>
      <c r="H491" t="str">
        <f>_xlfn.XLOOKUP(D491,stores!A:A,stores!B:B)</f>
        <v>Ohrid</v>
      </c>
      <c r="I491" t="str">
        <f t="shared" si="14"/>
        <v>NORMAL</v>
      </c>
      <c r="J491" s="4" t="str">
        <f t="shared" si="15"/>
        <v>8</v>
      </c>
    </row>
    <row r="492" spans="1:10">
      <c r="A492" s="2">
        <v>491</v>
      </c>
      <c r="B492" s="3">
        <v>46239</v>
      </c>
      <c r="C492" s="2">
        <v>1</v>
      </c>
      <c r="D492" s="2">
        <v>1</v>
      </c>
      <c r="E492" s="2">
        <v>20.5</v>
      </c>
      <c r="F492" s="2">
        <v>1230</v>
      </c>
      <c r="G492" t="str">
        <f>_xlfn.XLOOKUP(C492,products!A:A,products!B:B)</f>
        <v>Apple</v>
      </c>
      <c r="H492" t="str">
        <f>_xlfn.XLOOKUP(D492,stores!A:A,stores!B:B)</f>
        <v>Bitola</v>
      </c>
      <c r="I492" t="str">
        <f t="shared" si="14"/>
        <v>NORMAL</v>
      </c>
      <c r="J492" s="4" t="str">
        <f t="shared" si="15"/>
        <v>8</v>
      </c>
    </row>
    <row r="493" spans="1:10">
      <c r="A493" s="2">
        <v>492</v>
      </c>
      <c r="B493" s="3">
        <v>46239</v>
      </c>
      <c r="C493" s="2">
        <v>1</v>
      </c>
      <c r="D493" s="2">
        <v>2</v>
      </c>
      <c r="E493" s="2">
        <v>34.2</v>
      </c>
      <c r="F493" s="2">
        <v>2052</v>
      </c>
      <c r="G493" t="str">
        <f>_xlfn.XLOOKUP(C493,products!A:A,products!B:B)</f>
        <v>Apple</v>
      </c>
      <c r="H493" t="str">
        <f>_xlfn.XLOOKUP(D493,stores!A:A,stores!B:B)</f>
        <v>Ohrid</v>
      </c>
      <c r="I493" t="str">
        <f t="shared" si="14"/>
        <v>NORMAL</v>
      </c>
      <c r="J493" s="4" t="str">
        <f t="shared" si="15"/>
        <v>8</v>
      </c>
    </row>
    <row r="494" spans="1:10">
      <c r="A494" s="2">
        <v>493</v>
      </c>
      <c r="B494" s="3">
        <v>46239</v>
      </c>
      <c r="C494" s="2">
        <v>2</v>
      </c>
      <c r="D494" s="2">
        <v>1</v>
      </c>
      <c r="E494" s="2">
        <v>22.9</v>
      </c>
      <c r="F494" s="2">
        <v>2061</v>
      </c>
      <c r="G494" t="str">
        <f>_xlfn.XLOOKUP(C494,products!A:A,products!B:B)</f>
        <v>Banana</v>
      </c>
      <c r="H494" t="str">
        <f>_xlfn.XLOOKUP(D494,stores!A:A,stores!B:B)</f>
        <v>Bitola</v>
      </c>
      <c r="I494" t="str">
        <f t="shared" si="14"/>
        <v>NORMAL</v>
      </c>
      <c r="J494" s="4" t="str">
        <f t="shared" si="15"/>
        <v>8</v>
      </c>
    </row>
    <row r="495" spans="1:10">
      <c r="A495" s="2">
        <v>494</v>
      </c>
      <c r="B495" s="3">
        <v>46239</v>
      </c>
      <c r="C495" s="2">
        <v>2</v>
      </c>
      <c r="D495" s="2">
        <v>2</v>
      </c>
      <c r="E495" s="2">
        <v>36.7</v>
      </c>
      <c r="F495" s="2">
        <v>3303</v>
      </c>
      <c r="G495" t="str">
        <f>_xlfn.XLOOKUP(C495,products!A:A,products!B:B)</f>
        <v>Banana</v>
      </c>
      <c r="H495" t="str">
        <f>_xlfn.XLOOKUP(D495,stores!A:A,stores!B:B)</f>
        <v>Ohrid</v>
      </c>
      <c r="I495" t="str">
        <f t="shared" si="14"/>
        <v>NORMAL</v>
      </c>
      <c r="J495" s="4" t="str">
        <f t="shared" si="15"/>
        <v>8</v>
      </c>
    </row>
    <row r="496" spans="1:10">
      <c r="A496" s="2">
        <v>495</v>
      </c>
      <c r="B496" s="3">
        <v>46239</v>
      </c>
      <c r="C496" s="2">
        <v>3</v>
      </c>
      <c r="D496" s="2">
        <v>1</v>
      </c>
      <c r="E496" s="2">
        <v>7.6</v>
      </c>
      <c r="F496" s="2">
        <v>608</v>
      </c>
      <c r="G496" t="str">
        <f>_xlfn.XLOOKUP(C496,products!A:A,products!B:B)</f>
        <v>Orange</v>
      </c>
      <c r="H496" t="str">
        <f>_xlfn.XLOOKUP(D496,stores!A:A,stores!B:B)</f>
        <v>Bitola</v>
      </c>
      <c r="I496" t="str">
        <f t="shared" si="14"/>
        <v>NORMAL</v>
      </c>
      <c r="J496" s="4" t="str">
        <f t="shared" si="15"/>
        <v>8</v>
      </c>
    </row>
    <row r="497" spans="1:10">
      <c r="A497" s="2">
        <v>496</v>
      </c>
      <c r="B497" s="3">
        <v>46239</v>
      </c>
      <c r="C497" s="2">
        <v>3</v>
      </c>
      <c r="D497" s="2">
        <v>2</v>
      </c>
      <c r="E497" s="2">
        <v>17</v>
      </c>
      <c r="F497" s="2">
        <v>1360</v>
      </c>
      <c r="G497" t="str">
        <f>_xlfn.XLOOKUP(C497,products!A:A,products!B:B)</f>
        <v>Orange</v>
      </c>
      <c r="H497" t="str">
        <f>_xlfn.XLOOKUP(D497,stores!A:A,stores!B:B)</f>
        <v>Ohrid</v>
      </c>
      <c r="I497" t="str">
        <f t="shared" si="14"/>
        <v>NORMAL</v>
      </c>
      <c r="J497" s="4" t="str">
        <f t="shared" si="15"/>
        <v>8</v>
      </c>
    </row>
    <row r="498" spans="1:10">
      <c r="A498" s="2">
        <v>497</v>
      </c>
      <c r="B498" s="3">
        <v>46239</v>
      </c>
      <c r="C498" s="2">
        <v>4</v>
      </c>
      <c r="D498" s="2">
        <v>1</v>
      </c>
      <c r="E498" s="2">
        <v>72.1</v>
      </c>
      <c r="F498" s="2">
        <v>1802</v>
      </c>
      <c r="G498" t="str">
        <f>_xlfn.XLOOKUP(C498,products!A:A,products!B:B)</f>
        <v>Watermelon</v>
      </c>
      <c r="H498" t="str">
        <f>_xlfn.XLOOKUP(D498,stores!A:A,stores!B:B)</f>
        <v>Bitola</v>
      </c>
      <c r="I498" t="str">
        <f t="shared" si="14"/>
        <v>BIG</v>
      </c>
      <c r="J498" s="4" t="str">
        <f t="shared" si="15"/>
        <v>8</v>
      </c>
    </row>
    <row r="499" spans="1:10">
      <c r="A499" s="2">
        <v>498</v>
      </c>
      <c r="B499" s="3">
        <v>46239</v>
      </c>
      <c r="C499" s="2">
        <v>4</v>
      </c>
      <c r="D499" s="2">
        <v>2</v>
      </c>
      <c r="E499" s="2">
        <v>128.2</v>
      </c>
      <c r="F499" s="2">
        <v>3205</v>
      </c>
      <c r="G499" t="str">
        <f>_xlfn.XLOOKUP(C499,products!A:A,products!B:B)</f>
        <v>Watermelon</v>
      </c>
      <c r="H499" t="str">
        <f>_xlfn.XLOOKUP(D499,stores!A:A,stores!B:B)</f>
        <v>Ohrid</v>
      </c>
      <c r="I499" t="str">
        <f t="shared" si="14"/>
        <v>BIG</v>
      </c>
      <c r="J499" s="4" t="str">
        <f t="shared" si="15"/>
        <v>8</v>
      </c>
    </row>
    <row r="500" spans="1:10">
      <c r="A500" s="2">
        <v>499</v>
      </c>
      <c r="B500" s="3">
        <v>46239</v>
      </c>
      <c r="C500" s="2">
        <v>5</v>
      </c>
      <c r="D500" s="2">
        <v>1</v>
      </c>
      <c r="E500" s="2">
        <v>13.5</v>
      </c>
      <c r="F500" s="2">
        <v>1485</v>
      </c>
      <c r="G500" t="str">
        <f>_xlfn.XLOOKUP(C500,products!A:A,products!B:B)</f>
        <v>Grapes</v>
      </c>
      <c r="H500" t="str">
        <f>_xlfn.XLOOKUP(D500,stores!A:A,stores!B:B)</f>
        <v>Bitola</v>
      </c>
      <c r="I500" t="str">
        <f t="shared" si="14"/>
        <v>NORMAL</v>
      </c>
      <c r="J500" s="4" t="str">
        <f t="shared" si="15"/>
        <v>8</v>
      </c>
    </row>
    <row r="501" spans="1:10">
      <c r="A501" s="2">
        <v>500</v>
      </c>
      <c r="B501" s="3">
        <v>46239</v>
      </c>
      <c r="C501" s="2">
        <v>5</v>
      </c>
      <c r="D501" s="2">
        <v>2</v>
      </c>
      <c r="E501" s="2">
        <v>23</v>
      </c>
      <c r="F501" s="2">
        <v>2530</v>
      </c>
      <c r="G501" t="str">
        <f>_xlfn.XLOOKUP(C501,products!A:A,products!B:B)</f>
        <v>Grapes</v>
      </c>
      <c r="H501" t="str">
        <f>_xlfn.XLOOKUP(D501,stores!A:A,stores!B:B)</f>
        <v>Ohrid</v>
      </c>
      <c r="I501" t="str">
        <f t="shared" si="14"/>
        <v>NORMAL</v>
      </c>
      <c r="J501" s="4" t="str">
        <f t="shared" si="15"/>
        <v>8</v>
      </c>
    </row>
    <row r="502" spans="1:10">
      <c r="A502" s="2">
        <v>501</v>
      </c>
      <c r="B502" s="3">
        <v>46239</v>
      </c>
      <c r="C502" s="2">
        <v>6</v>
      </c>
      <c r="D502" s="2">
        <v>1</v>
      </c>
      <c r="E502" s="2">
        <v>3.9</v>
      </c>
      <c r="F502" s="2">
        <v>858</v>
      </c>
      <c r="G502" t="str">
        <f>_xlfn.XLOOKUP(C502,products!A:A,products!B:B)</f>
        <v>Strawberry</v>
      </c>
      <c r="H502" t="str">
        <f>_xlfn.XLOOKUP(D502,stores!A:A,stores!B:B)</f>
        <v>Bitola</v>
      </c>
      <c r="I502" t="str">
        <f t="shared" si="14"/>
        <v>NORMAL</v>
      </c>
      <c r="J502" s="4" t="str">
        <f t="shared" si="15"/>
        <v>8</v>
      </c>
    </row>
    <row r="503" spans="1:10">
      <c r="A503" s="2">
        <v>502</v>
      </c>
      <c r="B503" s="3">
        <v>46239</v>
      </c>
      <c r="C503" s="2">
        <v>6</v>
      </c>
      <c r="D503" s="2">
        <v>2</v>
      </c>
      <c r="E503" s="2">
        <v>5.8</v>
      </c>
      <c r="F503" s="2">
        <v>1276</v>
      </c>
      <c r="G503" t="str">
        <f>_xlfn.XLOOKUP(C503,products!A:A,products!B:B)</f>
        <v>Strawberry</v>
      </c>
      <c r="H503" t="str">
        <f>_xlfn.XLOOKUP(D503,stores!A:A,stores!B:B)</f>
        <v>Ohrid</v>
      </c>
      <c r="I503" t="str">
        <f t="shared" si="14"/>
        <v>NORMAL</v>
      </c>
      <c r="J503" s="4" t="str">
        <f t="shared" si="15"/>
        <v>8</v>
      </c>
    </row>
    <row r="504" spans="1:10">
      <c r="A504" s="2">
        <v>503</v>
      </c>
      <c r="B504" s="3">
        <v>46239</v>
      </c>
      <c r="C504" s="2">
        <v>7</v>
      </c>
      <c r="D504" s="2">
        <v>1</v>
      </c>
      <c r="E504" s="2">
        <v>20.7</v>
      </c>
      <c r="F504" s="2">
        <v>1966</v>
      </c>
      <c r="G504" t="str">
        <f>_xlfn.XLOOKUP(C504,products!A:A,products!B:B)</f>
        <v>Peach</v>
      </c>
      <c r="H504" t="str">
        <f>_xlfn.XLOOKUP(D504,stores!A:A,stores!B:B)</f>
        <v>Bitola</v>
      </c>
      <c r="I504" t="str">
        <f t="shared" si="14"/>
        <v>NORMAL</v>
      </c>
      <c r="J504" s="4" t="str">
        <f t="shared" si="15"/>
        <v>8</v>
      </c>
    </row>
    <row r="505" spans="1:10">
      <c r="A505" s="2">
        <v>504</v>
      </c>
      <c r="B505" s="3">
        <v>46239</v>
      </c>
      <c r="C505" s="2">
        <v>7</v>
      </c>
      <c r="D505" s="2">
        <v>2</v>
      </c>
      <c r="E505" s="2">
        <v>45.2</v>
      </c>
      <c r="F505" s="2">
        <v>4294</v>
      </c>
      <c r="G505" t="str">
        <f>_xlfn.XLOOKUP(C505,products!A:A,products!B:B)</f>
        <v>Peach</v>
      </c>
      <c r="H505" t="str">
        <f>_xlfn.XLOOKUP(D505,stores!A:A,stores!B:B)</f>
        <v>Ohrid</v>
      </c>
      <c r="I505" t="str">
        <f t="shared" si="14"/>
        <v>NORMAL</v>
      </c>
      <c r="J505" s="4" t="str">
        <f t="shared" si="15"/>
        <v>8</v>
      </c>
    </row>
    <row r="506" spans="1:10">
      <c r="A506" s="2">
        <v>505</v>
      </c>
      <c r="B506" s="3">
        <v>46240</v>
      </c>
      <c r="C506" s="2">
        <v>1</v>
      </c>
      <c r="D506" s="2">
        <v>1</v>
      </c>
      <c r="E506" s="2">
        <v>25.7</v>
      </c>
      <c r="F506" s="2">
        <v>1542</v>
      </c>
      <c r="G506" t="str">
        <f>_xlfn.XLOOKUP(C506,products!A:A,products!B:B)</f>
        <v>Apple</v>
      </c>
      <c r="H506" t="str">
        <f>_xlfn.XLOOKUP(D506,stores!A:A,stores!B:B)</f>
        <v>Bitola</v>
      </c>
      <c r="I506" t="str">
        <f t="shared" si="14"/>
        <v>NORMAL</v>
      </c>
      <c r="J506" s="4" t="str">
        <f t="shared" si="15"/>
        <v>8</v>
      </c>
    </row>
    <row r="507" spans="1:10">
      <c r="A507" s="2">
        <v>506</v>
      </c>
      <c r="B507" s="3">
        <v>46240</v>
      </c>
      <c r="C507" s="2">
        <v>1</v>
      </c>
      <c r="D507" s="2">
        <v>2</v>
      </c>
      <c r="E507" s="2">
        <v>31.5</v>
      </c>
      <c r="F507" s="2">
        <v>1890</v>
      </c>
      <c r="G507" t="str">
        <f>_xlfn.XLOOKUP(C507,products!A:A,products!B:B)</f>
        <v>Apple</v>
      </c>
      <c r="H507" t="str">
        <f>_xlfn.XLOOKUP(D507,stores!A:A,stores!B:B)</f>
        <v>Ohrid</v>
      </c>
      <c r="I507" t="str">
        <f t="shared" si="14"/>
        <v>NORMAL</v>
      </c>
      <c r="J507" s="4" t="str">
        <f t="shared" si="15"/>
        <v>8</v>
      </c>
    </row>
    <row r="508" spans="1:10">
      <c r="A508" s="2">
        <v>507</v>
      </c>
      <c r="B508" s="3">
        <v>46240</v>
      </c>
      <c r="C508" s="2">
        <v>2</v>
      </c>
      <c r="D508" s="2">
        <v>1</v>
      </c>
      <c r="E508" s="2">
        <v>27.5</v>
      </c>
      <c r="F508" s="2">
        <v>2475</v>
      </c>
      <c r="G508" t="str">
        <f>_xlfn.XLOOKUP(C508,products!A:A,products!B:B)</f>
        <v>Banana</v>
      </c>
      <c r="H508" t="str">
        <f>_xlfn.XLOOKUP(D508,stores!A:A,stores!B:B)</f>
        <v>Bitola</v>
      </c>
      <c r="I508" t="str">
        <f t="shared" si="14"/>
        <v>NORMAL</v>
      </c>
      <c r="J508" s="4" t="str">
        <f t="shared" si="15"/>
        <v>8</v>
      </c>
    </row>
    <row r="509" spans="1:10">
      <c r="A509" s="2">
        <v>508</v>
      </c>
      <c r="B509" s="3">
        <v>46240</v>
      </c>
      <c r="C509" s="2">
        <v>2</v>
      </c>
      <c r="D509" s="2">
        <v>2</v>
      </c>
      <c r="E509" s="2">
        <v>42</v>
      </c>
      <c r="F509" s="2">
        <v>3780</v>
      </c>
      <c r="G509" t="str">
        <f>_xlfn.XLOOKUP(C509,products!A:A,products!B:B)</f>
        <v>Banana</v>
      </c>
      <c r="H509" t="str">
        <f>_xlfn.XLOOKUP(D509,stores!A:A,stores!B:B)</f>
        <v>Ohrid</v>
      </c>
      <c r="I509" t="str">
        <f t="shared" si="14"/>
        <v>NORMAL</v>
      </c>
      <c r="J509" s="4" t="str">
        <f t="shared" si="15"/>
        <v>8</v>
      </c>
    </row>
    <row r="510" spans="1:10">
      <c r="A510" s="2">
        <v>509</v>
      </c>
      <c r="B510" s="3">
        <v>46240</v>
      </c>
      <c r="C510" s="2">
        <v>3</v>
      </c>
      <c r="D510" s="2">
        <v>1</v>
      </c>
      <c r="E510" s="2">
        <v>10.7</v>
      </c>
      <c r="F510" s="2">
        <v>856</v>
      </c>
      <c r="G510" t="str">
        <f>_xlfn.XLOOKUP(C510,products!A:A,products!B:B)</f>
        <v>Orange</v>
      </c>
      <c r="H510" t="str">
        <f>_xlfn.XLOOKUP(D510,stores!A:A,stores!B:B)</f>
        <v>Bitola</v>
      </c>
      <c r="I510" t="str">
        <f t="shared" si="14"/>
        <v>NORMAL</v>
      </c>
      <c r="J510" s="4" t="str">
        <f t="shared" si="15"/>
        <v>8</v>
      </c>
    </row>
    <row r="511" spans="1:10">
      <c r="A511" s="2">
        <v>510</v>
      </c>
      <c r="B511" s="3">
        <v>46240</v>
      </c>
      <c r="C511" s="2">
        <v>3</v>
      </c>
      <c r="D511" s="2">
        <v>2</v>
      </c>
      <c r="E511" s="2">
        <v>14.3</v>
      </c>
      <c r="F511" s="2">
        <v>1144</v>
      </c>
      <c r="G511" t="str">
        <f>_xlfn.XLOOKUP(C511,products!A:A,products!B:B)</f>
        <v>Orange</v>
      </c>
      <c r="H511" t="str">
        <f>_xlfn.XLOOKUP(D511,stores!A:A,stores!B:B)</f>
        <v>Ohrid</v>
      </c>
      <c r="I511" t="str">
        <f t="shared" si="14"/>
        <v>NORMAL</v>
      </c>
      <c r="J511" s="4" t="str">
        <f t="shared" si="15"/>
        <v>8</v>
      </c>
    </row>
    <row r="512" spans="1:10">
      <c r="A512" s="2">
        <v>511</v>
      </c>
      <c r="B512" s="3">
        <v>46240</v>
      </c>
      <c r="C512" s="2">
        <v>4</v>
      </c>
      <c r="D512" s="2">
        <v>1</v>
      </c>
      <c r="E512" s="2">
        <v>83.4</v>
      </c>
      <c r="F512" s="2">
        <v>2085</v>
      </c>
      <c r="G512" t="str">
        <f>_xlfn.XLOOKUP(C512,products!A:A,products!B:B)</f>
        <v>Watermelon</v>
      </c>
      <c r="H512" t="str">
        <f>_xlfn.XLOOKUP(D512,stores!A:A,stores!B:B)</f>
        <v>Bitola</v>
      </c>
      <c r="I512" t="str">
        <f t="shared" si="14"/>
        <v>BIG</v>
      </c>
      <c r="J512" s="4" t="str">
        <f t="shared" si="15"/>
        <v>8</v>
      </c>
    </row>
    <row r="513" spans="1:10">
      <c r="A513" s="2">
        <v>512</v>
      </c>
      <c r="B513" s="3">
        <v>46240</v>
      </c>
      <c r="C513" s="2">
        <v>4</v>
      </c>
      <c r="D513" s="2">
        <v>2</v>
      </c>
      <c r="E513" s="2">
        <v>140.7</v>
      </c>
      <c r="F513" s="2">
        <v>3517</v>
      </c>
      <c r="G513" t="str">
        <f>_xlfn.XLOOKUP(C513,products!A:A,products!B:B)</f>
        <v>Watermelon</v>
      </c>
      <c r="H513" t="str">
        <f>_xlfn.XLOOKUP(D513,stores!A:A,stores!B:B)</f>
        <v>Ohrid</v>
      </c>
      <c r="I513" t="str">
        <f t="shared" si="14"/>
        <v>BIG</v>
      </c>
      <c r="J513" s="4" t="str">
        <f t="shared" si="15"/>
        <v>8</v>
      </c>
    </row>
    <row r="514" spans="1:10">
      <c r="A514" s="2">
        <v>513</v>
      </c>
      <c r="B514" s="3">
        <v>46240</v>
      </c>
      <c r="C514" s="2">
        <v>5</v>
      </c>
      <c r="D514" s="2">
        <v>1</v>
      </c>
      <c r="E514" s="2">
        <v>15.2</v>
      </c>
      <c r="F514" s="2">
        <v>1672</v>
      </c>
      <c r="G514" t="str">
        <f>_xlfn.XLOOKUP(C514,products!A:A,products!B:B)</f>
        <v>Grapes</v>
      </c>
      <c r="H514" t="str">
        <f>_xlfn.XLOOKUP(D514,stores!A:A,stores!B:B)</f>
        <v>Bitola</v>
      </c>
      <c r="I514" t="str">
        <f t="shared" ref="I514:I577" si="16">IF(E514&gt;50,"BIG","NORMAL")</f>
        <v>NORMAL</v>
      </c>
      <c r="J514" s="4" t="str">
        <f t="shared" ref="J514:J577" si="17">TEXT(B514,"m")</f>
        <v>8</v>
      </c>
    </row>
    <row r="515" spans="1:10">
      <c r="A515" s="2">
        <v>514</v>
      </c>
      <c r="B515" s="3">
        <v>46240</v>
      </c>
      <c r="C515" s="2">
        <v>5</v>
      </c>
      <c r="D515" s="2">
        <v>2</v>
      </c>
      <c r="E515" s="2">
        <v>18.1</v>
      </c>
      <c r="F515" s="2">
        <v>1991</v>
      </c>
      <c r="G515" t="str">
        <f>_xlfn.XLOOKUP(C515,products!A:A,products!B:B)</f>
        <v>Grapes</v>
      </c>
      <c r="H515" t="str">
        <f>_xlfn.XLOOKUP(D515,stores!A:A,stores!B:B)</f>
        <v>Ohrid</v>
      </c>
      <c r="I515" t="str">
        <f t="shared" si="16"/>
        <v>NORMAL</v>
      </c>
      <c r="J515" s="4" t="str">
        <f t="shared" si="17"/>
        <v>8</v>
      </c>
    </row>
    <row r="516" spans="1:10">
      <c r="A516" s="2">
        <v>515</v>
      </c>
      <c r="B516" s="3">
        <v>46240</v>
      </c>
      <c r="C516" s="2">
        <v>6</v>
      </c>
      <c r="D516" s="2">
        <v>1</v>
      </c>
      <c r="E516" s="2">
        <v>4</v>
      </c>
      <c r="F516" s="2">
        <v>880</v>
      </c>
      <c r="G516" t="str">
        <f>_xlfn.XLOOKUP(C516,products!A:A,products!B:B)</f>
        <v>Strawberry</v>
      </c>
      <c r="H516" t="str">
        <f>_xlfn.XLOOKUP(D516,stores!A:A,stores!B:B)</f>
        <v>Bitola</v>
      </c>
      <c r="I516" t="str">
        <f t="shared" si="16"/>
        <v>NORMAL</v>
      </c>
      <c r="J516" s="4" t="str">
        <f t="shared" si="17"/>
        <v>8</v>
      </c>
    </row>
    <row r="517" spans="1:10">
      <c r="A517" s="2">
        <v>516</v>
      </c>
      <c r="B517" s="3">
        <v>46240</v>
      </c>
      <c r="C517" s="2">
        <v>6</v>
      </c>
      <c r="D517" s="2">
        <v>2</v>
      </c>
      <c r="E517" s="2">
        <v>3.7</v>
      </c>
      <c r="F517" s="2">
        <v>814</v>
      </c>
      <c r="G517" t="str">
        <f>_xlfn.XLOOKUP(C517,products!A:A,products!B:B)</f>
        <v>Strawberry</v>
      </c>
      <c r="H517" t="str">
        <f>_xlfn.XLOOKUP(D517,stores!A:A,stores!B:B)</f>
        <v>Ohrid</v>
      </c>
      <c r="I517" t="str">
        <f t="shared" si="16"/>
        <v>NORMAL</v>
      </c>
      <c r="J517" s="4" t="str">
        <f t="shared" si="17"/>
        <v>8</v>
      </c>
    </row>
    <row r="518" spans="1:10">
      <c r="A518" s="2">
        <v>517</v>
      </c>
      <c r="B518" s="3">
        <v>46240</v>
      </c>
      <c r="C518" s="2">
        <v>7</v>
      </c>
      <c r="D518" s="2">
        <v>1</v>
      </c>
      <c r="E518" s="2">
        <v>26</v>
      </c>
      <c r="F518" s="2">
        <v>2470</v>
      </c>
      <c r="G518" t="str">
        <f>_xlfn.XLOOKUP(C518,products!A:A,products!B:B)</f>
        <v>Peach</v>
      </c>
      <c r="H518" t="str">
        <f>_xlfn.XLOOKUP(D518,stores!A:A,stores!B:B)</f>
        <v>Bitola</v>
      </c>
      <c r="I518" t="str">
        <f t="shared" si="16"/>
        <v>NORMAL</v>
      </c>
      <c r="J518" s="4" t="str">
        <f t="shared" si="17"/>
        <v>8</v>
      </c>
    </row>
    <row r="519" spans="1:10">
      <c r="A519" s="2">
        <v>518</v>
      </c>
      <c r="B519" s="3">
        <v>46240</v>
      </c>
      <c r="C519" s="2">
        <v>7</v>
      </c>
      <c r="D519" s="2">
        <v>2</v>
      </c>
      <c r="E519" s="2">
        <v>42.2</v>
      </c>
      <c r="F519" s="2">
        <v>4009</v>
      </c>
      <c r="G519" t="str">
        <f>_xlfn.XLOOKUP(C519,products!A:A,products!B:B)</f>
        <v>Peach</v>
      </c>
      <c r="H519" t="str">
        <f>_xlfn.XLOOKUP(D519,stores!A:A,stores!B:B)</f>
        <v>Ohrid</v>
      </c>
      <c r="I519" t="str">
        <f t="shared" si="16"/>
        <v>NORMAL</v>
      </c>
      <c r="J519" s="4" t="str">
        <f t="shared" si="17"/>
        <v>8</v>
      </c>
    </row>
    <row r="520" spans="1:10">
      <c r="A520" s="2">
        <v>519</v>
      </c>
      <c r="B520" s="3">
        <v>46241</v>
      </c>
      <c r="C520" s="2">
        <v>1</v>
      </c>
      <c r="D520" s="2">
        <v>1</v>
      </c>
      <c r="E520" s="2">
        <v>24.9</v>
      </c>
      <c r="F520" s="2">
        <v>1494</v>
      </c>
      <c r="G520" t="str">
        <f>_xlfn.XLOOKUP(C520,products!A:A,products!B:B)</f>
        <v>Apple</v>
      </c>
      <c r="H520" t="str">
        <f>_xlfn.XLOOKUP(D520,stores!A:A,stores!B:B)</f>
        <v>Bitola</v>
      </c>
      <c r="I520" t="str">
        <f t="shared" si="16"/>
        <v>NORMAL</v>
      </c>
      <c r="J520" s="4" t="str">
        <f t="shared" si="17"/>
        <v>8</v>
      </c>
    </row>
    <row r="521" spans="1:10">
      <c r="A521" s="2">
        <v>520</v>
      </c>
      <c r="B521" s="3">
        <v>46241</v>
      </c>
      <c r="C521" s="2">
        <v>1</v>
      </c>
      <c r="D521" s="2">
        <v>2</v>
      </c>
      <c r="E521" s="2">
        <v>30.9</v>
      </c>
      <c r="F521" s="2">
        <v>1854</v>
      </c>
      <c r="G521" t="str">
        <f>_xlfn.XLOOKUP(C521,products!A:A,products!B:B)</f>
        <v>Apple</v>
      </c>
      <c r="H521" t="str">
        <f>_xlfn.XLOOKUP(D521,stores!A:A,stores!B:B)</f>
        <v>Ohrid</v>
      </c>
      <c r="I521" t="str">
        <f t="shared" si="16"/>
        <v>NORMAL</v>
      </c>
      <c r="J521" s="4" t="str">
        <f t="shared" si="17"/>
        <v>8</v>
      </c>
    </row>
    <row r="522" spans="1:10">
      <c r="A522" s="2">
        <v>521</v>
      </c>
      <c r="B522" s="3">
        <v>46241</v>
      </c>
      <c r="C522" s="2">
        <v>2</v>
      </c>
      <c r="D522" s="2">
        <v>1</v>
      </c>
      <c r="E522" s="2">
        <v>28.5</v>
      </c>
      <c r="F522" s="2">
        <v>2565</v>
      </c>
      <c r="G522" t="str">
        <f>_xlfn.XLOOKUP(C522,products!A:A,products!B:B)</f>
        <v>Banana</v>
      </c>
      <c r="H522" t="str">
        <f>_xlfn.XLOOKUP(D522,stores!A:A,stores!B:B)</f>
        <v>Bitola</v>
      </c>
      <c r="I522" t="str">
        <f t="shared" si="16"/>
        <v>NORMAL</v>
      </c>
      <c r="J522" s="4" t="str">
        <f t="shared" si="17"/>
        <v>8</v>
      </c>
    </row>
    <row r="523" spans="1:10">
      <c r="A523" s="2">
        <v>522</v>
      </c>
      <c r="B523" s="3">
        <v>46241</v>
      </c>
      <c r="C523" s="2">
        <v>2</v>
      </c>
      <c r="D523" s="2">
        <v>2</v>
      </c>
      <c r="E523" s="2">
        <v>36</v>
      </c>
      <c r="F523" s="2">
        <v>3240</v>
      </c>
      <c r="G523" t="str">
        <f>_xlfn.XLOOKUP(C523,products!A:A,products!B:B)</f>
        <v>Banana</v>
      </c>
      <c r="H523" t="str">
        <f>_xlfn.XLOOKUP(D523,stores!A:A,stores!B:B)</f>
        <v>Ohrid</v>
      </c>
      <c r="I523" t="str">
        <f t="shared" si="16"/>
        <v>NORMAL</v>
      </c>
      <c r="J523" s="4" t="str">
        <f t="shared" si="17"/>
        <v>8</v>
      </c>
    </row>
    <row r="524" spans="1:10">
      <c r="A524" s="2">
        <v>523</v>
      </c>
      <c r="B524" s="3">
        <v>46241</v>
      </c>
      <c r="C524" s="2">
        <v>3</v>
      </c>
      <c r="D524" s="2">
        <v>1</v>
      </c>
      <c r="E524" s="2">
        <v>7.2</v>
      </c>
      <c r="F524" s="2">
        <v>576</v>
      </c>
      <c r="G524" t="str">
        <f>_xlfn.XLOOKUP(C524,products!A:A,products!B:B)</f>
        <v>Orange</v>
      </c>
      <c r="H524" t="str">
        <f>_xlfn.XLOOKUP(D524,stores!A:A,stores!B:B)</f>
        <v>Bitola</v>
      </c>
      <c r="I524" t="str">
        <f t="shared" si="16"/>
        <v>NORMAL</v>
      </c>
      <c r="J524" s="4" t="str">
        <f t="shared" si="17"/>
        <v>8</v>
      </c>
    </row>
    <row r="525" spans="1:10">
      <c r="A525" s="2">
        <v>524</v>
      </c>
      <c r="B525" s="3">
        <v>46241</v>
      </c>
      <c r="C525" s="2">
        <v>3</v>
      </c>
      <c r="D525" s="2">
        <v>2</v>
      </c>
      <c r="E525" s="2">
        <v>9.7</v>
      </c>
      <c r="F525" s="2">
        <v>776</v>
      </c>
      <c r="G525" t="str">
        <f>_xlfn.XLOOKUP(C525,products!A:A,products!B:B)</f>
        <v>Orange</v>
      </c>
      <c r="H525" t="str">
        <f>_xlfn.XLOOKUP(D525,stores!A:A,stores!B:B)</f>
        <v>Ohrid</v>
      </c>
      <c r="I525" t="str">
        <f t="shared" si="16"/>
        <v>NORMAL</v>
      </c>
      <c r="J525" s="4" t="str">
        <f t="shared" si="17"/>
        <v>8</v>
      </c>
    </row>
    <row r="526" spans="1:10">
      <c r="A526" s="2">
        <v>525</v>
      </c>
      <c r="B526" s="3">
        <v>46241</v>
      </c>
      <c r="C526" s="2">
        <v>4</v>
      </c>
      <c r="D526" s="2">
        <v>1</v>
      </c>
      <c r="E526" s="2">
        <v>64.5</v>
      </c>
      <c r="F526" s="2">
        <v>1612</v>
      </c>
      <c r="G526" t="str">
        <f>_xlfn.XLOOKUP(C526,products!A:A,products!B:B)</f>
        <v>Watermelon</v>
      </c>
      <c r="H526" t="str">
        <f>_xlfn.XLOOKUP(D526,stores!A:A,stores!B:B)</f>
        <v>Bitola</v>
      </c>
      <c r="I526" t="str">
        <f t="shared" si="16"/>
        <v>BIG</v>
      </c>
      <c r="J526" s="4" t="str">
        <f t="shared" si="17"/>
        <v>8</v>
      </c>
    </row>
    <row r="527" spans="1:10">
      <c r="A527" s="2">
        <v>526</v>
      </c>
      <c r="B527" s="3">
        <v>46241</v>
      </c>
      <c r="C527" s="2">
        <v>4</v>
      </c>
      <c r="D527" s="2">
        <v>2</v>
      </c>
      <c r="E527" s="2">
        <v>87.2</v>
      </c>
      <c r="F527" s="2">
        <v>2180</v>
      </c>
      <c r="G527" t="str">
        <f>_xlfn.XLOOKUP(C527,products!A:A,products!B:B)</f>
        <v>Watermelon</v>
      </c>
      <c r="H527" t="str">
        <f>_xlfn.XLOOKUP(D527,stores!A:A,stores!B:B)</f>
        <v>Ohrid</v>
      </c>
      <c r="I527" t="str">
        <f t="shared" si="16"/>
        <v>BIG</v>
      </c>
      <c r="J527" s="4" t="str">
        <f t="shared" si="17"/>
        <v>8</v>
      </c>
    </row>
    <row r="528" spans="1:10">
      <c r="A528" s="2">
        <v>527</v>
      </c>
      <c r="B528" s="3">
        <v>46241</v>
      </c>
      <c r="C528" s="2">
        <v>5</v>
      </c>
      <c r="D528" s="2">
        <v>1</v>
      </c>
      <c r="E528" s="2">
        <v>16.9</v>
      </c>
      <c r="F528" s="2">
        <v>1859</v>
      </c>
      <c r="G528" t="str">
        <f>_xlfn.XLOOKUP(C528,products!A:A,products!B:B)</f>
        <v>Grapes</v>
      </c>
      <c r="H528" t="str">
        <f>_xlfn.XLOOKUP(D528,stores!A:A,stores!B:B)</f>
        <v>Bitola</v>
      </c>
      <c r="I528" t="str">
        <f t="shared" si="16"/>
        <v>NORMAL</v>
      </c>
      <c r="J528" s="4" t="str">
        <f t="shared" si="17"/>
        <v>8</v>
      </c>
    </row>
    <row r="529" spans="1:10">
      <c r="A529" s="2">
        <v>528</v>
      </c>
      <c r="B529" s="3">
        <v>46241</v>
      </c>
      <c r="C529" s="2">
        <v>5</v>
      </c>
      <c r="D529" s="2">
        <v>2</v>
      </c>
      <c r="E529" s="2">
        <v>21.6</v>
      </c>
      <c r="F529" s="2">
        <v>2376</v>
      </c>
      <c r="G529" t="str">
        <f>_xlfn.XLOOKUP(C529,products!A:A,products!B:B)</f>
        <v>Grapes</v>
      </c>
      <c r="H529" t="str">
        <f>_xlfn.XLOOKUP(D529,stores!A:A,stores!B:B)</f>
        <v>Ohrid</v>
      </c>
      <c r="I529" t="str">
        <f t="shared" si="16"/>
        <v>NORMAL</v>
      </c>
      <c r="J529" s="4" t="str">
        <f t="shared" si="17"/>
        <v>8</v>
      </c>
    </row>
    <row r="530" spans="1:10">
      <c r="A530" s="2">
        <v>529</v>
      </c>
      <c r="B530" s="3">
        <v>46241</v>
      </c>
      <c r="C530" s="2">
        <v>6</v>
      </c>
      <c r="D530" s="2">
        <v>1</v>
      </c>
      <c r="E530" s="2">
        <v>4.5</v>
      </c>
      <c r="F530" s="2">
        <v>990</v>
      </c>
      <c r="G530" t="str">
        <f>_xlfn.XLOOKUP(C530,products!A:A,products!B:B)</f>
        <v>Strawberry</v>
      </c>
      <c r="H530" t="str">
        <f>_xlfn.XLOOKUP(D530,stores!A:A,stores!B:B)</f>
        <v>Bitola</v>
      </c>
      <c r="I530" t="str">
        <f t="shared" si="16"/>
        <v>NORMAL</v>
      </c>
      <c r="J530" s="4" t="str">
        <f t="shared" si="17"/>
        <v>8</v>
      </c>
    </row>
    <row r="531" spans="1:10">
      <c r="A531" s="2">
        <v>530</v>
      </c>
      <c r="B531" s="3">
        <v>46241</v>
      </c>
      <c r="C531" s="2">
        <v>6</v>
      </c>
      <c r="D531" s="2">
        <v>2</v>
      </c>
      <c r="E531" s="2">
        <v>6.1</v>
      </c>
      <c r="F531" s="2">
        <v>1342</v>
      </c>
      <c r="G531" t="str">
        <f>_xlfn.XLOOKUP(C531,products!A:A,products!B:B)</f>
        <v>Strawberry</v>
      </c>
      <c r="H531" t="str">
        <f>_xlfn.XLOOKUP(D531,stores!A:A,stores!B:B)</f>
        <v>Ohrid</v>
      </c>
      <c r="I531" t="str">
        <f t="shared" si="16"/>
        <v>NORMAL</v>
      </c>
      <c r="J531" s="4" t="str">
        <f t="shared" si="17"/>
        <v>8</v>
      </c>
    </row>
    <row r="532" spans="1:10">
      <c r="A532" s="2">
        <v>531</v>
      </c>
      <c r="B532" s="3">
        <v>46241</v>
      </c>
      <c r="C532" s="2">
        <v>7</v>
      </c>
      <c r="D532" s="2">
        <v>1</v>
      </c>
      <c r="E532" s="2">
        <v>31.4</v>
      </c>
      <c r="F532" s="2">
        <v>2983</v>
      </c>
      <c r="G532" t="str">
        <f>_xlfn.XLOOKUP(C532,products!A:A,products!B:B)</f>
        <v>Peach</v>
      </c>
      <c r="H532" t="str">
        <f>_xlfn.XLOOKUP(D532,stores!A:A,stores!B:B)</f>
        <v>Bitola</v>
      </c>
      <c r="I532" t="str">
        <f t="shared" si="16"/>
        <v>NORMAL</v>
      </c>
      <c r="J532" s="4" t="str">
        <f t="shared" si="17"/>
        <v>8</v>
      </c>
    </row>
    <row r="533" spans="1:10">
      <c r="A533" s="2">
        <v>532</v>
      </c>
      <c r="B533" s="3">
        <v>46241</v>
      </c>
      <c r="C533" s="2">
        <v>7</v>
      </c>
      <c r="D533" s="2">
        <v>2</v>
      </c>
      <c r="E533" s="2">
        <v>47.3</v>
      </c>
      <c r="F533" s="2">
        <v>4494</v>
      </c>
      <c r="G533" t="str">
        <f>_xlfn.XLOOKUP(C533,products!A:A,products!B:B)</f>
        <v>Peach</v>
      </c>
      <c r="H533" t="str">
        <f>_xlfn.XLOOKUP(D533,stores!A:A,stores!B:B)</f>
        <v>Ohrid</v>
      </c>
      <c r="I533" t="str">
        <f t="shared" si="16"/>
        <v>NORMAL</v>
      </c>
      <c r="J533" s="4" t="str">
        <f t="shared" si="17"/>
        <v>8</v>
      </c>
    </row>
    <row r="534" spans="1:10">
      <c r="A534" s="2">
        <v>533</v>
      </c>
      <c r="B534" s="3">
        <v>46242</v>
      </c>
      <c r="C534" s="2">
        <v>1</v>
      </c>
      <c r="D534" s="2">
        <v>1</v>
      </c>
      <c r="E534" s="2">
        <v>21.8</v>
      </c>
      <c r="F534" s="2">
        <v>1308</v>
      </c>
      <c r="G534" t="str">
        <f>_xlfn.XLOOKUP(C534,products!A:A,products!B:B)</f>
        <v>Apple</v>
      </c>
      <c r="H534" t="str">
        <f>_xlfn.XLOOKUP(D534,stores!A:A,stores!B:B)</f>
        <v>Bitola</v>
      </c>
      <c r="I534" t="str">
        <f t="shared" si="16"/>
        <v>NORMAL</v>
      </c>
      <c r="J534" s="4" t="str">
        <f t="shared" si="17"/>
        <v>8</v>
      </c>
    </row>
    <row r="535" spans="1:10">
      <c r="A535" s="2">
        <v>534</v>
      </c>
      <c r="B535" s="3">
        <v>46242</v>
      </c>
      <c r="C535" s="2">
        <v>1</v>
      </c>
      <c r="D535" s="2">
        <v>2</v>
      </c>
      <c r="E535" s="2">
        <v>35.4</v>
      </c>
      <c r="F535" s="2">
        <v>2124</v>
      </c>
      <c r="G535" t="str">
        <f>_xlfn.XLOOKUP(C535,products!A:A,products!B:B)</f>
        <v>Apple</v>
      </c>
      <c r="H535" t="str">
        <f>_xlfn.XLOOKUP(D535,stores!A:A,stores!B:B)</f>
        <v>Ohrid</v>
      </c>
      <c r="I535" t="str">
        <f t="shared" si="16"/>
        <v>NORMAL</v>
      </c>
      <c r="J535" s="4" t="str">
        <f t="shared" si="17"/>
        <v>8</v>
      </c>
    </row>
    <row r="536" spans="1:10">
      <c r="A536" s="2">
        <v>535</v>
      </c>
      <c r="B536" s="3">
        <v>46242</v>
      </c>
      <c r="C536" s="2">
        <v>2</v>
      </c>
      <c r="D536" s="2">
        <v>1</v>
      </c>
      <c r="E536" s="2">
        <v>26.8</v>
      </c>
      <c r="F536" s="2">
        <v>2412</v>
      </c>
      <c r="G536" t="str">
        <f>_xlfn.XLOOKUP(C536,products!A:A,products!B:B)</f>
        <v>Banana</v>
      </c>
      <c r="H536" t="str">
        <f>_xlfn.XLOOKUP(D536,stores!A:A,stores!B:B)</f>
        <v>Bitola</v>
      </c>
      <c r="I536" t="str">
        <f t="shared" si="16"/>
        <v>NORMAL</v>
      </c>
      <c r="J536" s="4" t="str">
        <f t="shared" si="17"/>
        <v>8</v>
      </c>
    </row>
    <row r="537" spans="1:10">
      <c r="A537" s="2">
        <v>536</v>
      </c>
      <c r="B537" s="3">
        <v>46242</v>
      </c>
      <c r="C537" s="2">
        <v>2</v>
      </c>
      <c r="D537" s="2">
        <v>2</v>
      </c>
      <c r="E537" s="2">
        <v>30.4</v>
      </c>
      <c r="F537" s="2">
        <v>2736</v>
      </c>
      <c r="G537" t="str">
        <f>_xlfn.XLOOKUP(C537,products!A:A,products!B:B)</f>
        <v>Banana</v>
      </c>
      <c r="H537" t="str">
        <f>_xlfn.XLOOKUP(D537,stores!A:A,stores!B:B)</f>
        <v>Ohrid</v>
      </c>
      <c r="I537" t="str">
        <f t="shared" si="16"/>
        <v>NORMAL</v>
      </c>
      <c r="J537" s="4" t="str">
        <f t="shared" si="17"/>
        <v>8</v>
      </c>
    </row>
    <row r="538" spans="1:10">
      <c r="A538" s="2">
        <v>537</v>
      </c>
      <c r="B538" s="3">
        <v>46242</v>
      </c>
      <c r="C538" s="2">
        <v>3</v>
      </c>
      <c r="D538" s="2">
        <v>1</v>
      </c>
      <c r="E538" s="2">
        <v>12.8</v>
      </c>
      <c r="F538" s="2">
        <v>1024</v>
      </c>
      <c r="G538" t="str">
        <f>_xlfn.XLOOKUP(C538,products!A:A,products!B:B)</f>
        <v>Orange</v>
      </c>
      <c r="H538" t="str">
        <f>_xlfn.XLOOKUP(D538,stores!A:A,stores!B:B)</f>
        <v>Bitola</v>
      </c>
      <c r="I538" t="str">
        <f t="shared" si="16"/>
        <v>NORMAL</v>
      </c>
      <c r="J538" s="4" t="str">
        <f t="shared" si="17"/>
        <v>8</v>
      </c>
    </row>
    <row r="539" spans="1:10">
      <c r="A539" s="2">
        <v>538</v>
      </c>
      <c r="B539" s="3">
        <v>46242</v>
      </c>
      <c r="C539" s="2">
        <v>3</v>
      </c>
      <c r="D539" s="2">
        <v>2</v>
      </c>
      <c r="E539" s="2">
        <v>20.9</v>
      </c>
      <c r="F539" s="2">
        <v>1672</v>
      </c>
      <c r="G539" t="str">
        <f>_xlfn.XLOOKUP(C539,products!A:A,products!B:B)</f>
        <v>Orange</v>
      </c>
      <c r="H539" t="str">
        <f>_xlfn.XLOOKUP(D539,stores!A:A,stores!B:B)</f>
        <v>Ohrid</v>
      </c>
      <c r="I539" t="str">
        <f t="shared" si="16"/>
        <v>NORMAL</v>
      </c>
      <c r="J539" s="4" t="str">
        <f t="shared" si="17"/>
        <v>8</v>
      </c>
    </row>
    <row r="540" spans="1:10">
      <c r="A540" s="2">
        <v>539</v>
      </c>
      <c r="B540" s="3">
        <v>46242</v>
      </c>
      <c r="C540" s="2">
        <v>4</v>
      </c>
      <c r="D540" s="2">
        <v>1</v>
      </c>
      <c r="E540" s="2">
        <v>99.9</v>
      </c>
      <c r="F540" s="2">
        <v>2498</v>
      </c>
      <c r="G540" t="str">
        <f>_xlfn.XLOOKUP(C540,products!A:A,products!B:B)</f>
        <v>Watermelon</v>
      </c>
      <c r="H540" t="str">
        <f>_xlfn.XLOOKUP(D540,stores!A:A,stores!B:B)</f>
        <v>Bitola</v>
      </c>
      <c r="I540" t="str">
        <f t="shared" si="16"/>
        <v>BIG</v>
      </c>
      <c r="J540" s="4" t="str">
        <f t="shared" si="17"/>
        <v>8</v>
      </c>
    </row>
    <row r="541" spans="1:10">
      <c r="A541" s="2">
        <v>540</v>
      </c>
      <c r="B541" s="3">
        <v>46242</v>
      </c>
      <c r="C541" s="2">
        <v>4</v>
      </c>
      <c r="D541" s="2">
        <v>2</v>
      </c>
      <c r="E541" s="2">
        <v>135.2</v>
      </c>
      <c r="F541" s="2">
        <v>3380</v>
      </c>
      <c r="G541" t="str">
        <f>_xlfn.XLOOKUP(C541,products!A:A,products!B:B)</f>
        <v>Watermelon</v>
      </c>
      <c r="H541" t="str">
        <f>_xlfn.XLOOKUP(D541,stores!A:A,stores!B:B)</f>
        <v>Ohrid</v>
      </c>
      <c r="I541" t="str">
        <f t="shared" si="16"/>
        <v>BIG</v>
      </c>
      <c r="J541" s="4" t="str">
        <f t="shared" si="17"/>
        <v>8</v>
      </c>
    </row>
    <row r="542" spans="1:10">
      <c r="A542" s="2">
        <v>541</v>
      </c>
      <c r="B542" s="3">
        <v>46242</v>
      </c>
      <c r="C542" s="2">
        <v>5</v>
      </c>
      <c r="D542" s="2">
        <v>1</v>
      </c>
      <c r="E542" s="2">
        <v>22.8</v>
      </c>
      <c r="F542" s="2">
        <v>2508</v>
      </c>
      <c r="G542" t="str">
        <f>_xlfn.XLOOKUP(C542,products!A:A,products!B:B)</f>
        <v>Grapes</v>
      </c>
      <c r="H542" t="str">
        <f>_xlfn.XLOOKUP(D542,stores!A:A,stores!B:B)</f>
        <v>Bitola</v>
      </c>
      <c r="I542" t="str">
        <f t="shared" si="16"/>
        <v>NORMAL</v>
      </c>
      <c r="J542" s="4" t="str">
        <f t="shared" si="17"/>
        <v>8</v>
      </c>
    </row>
    <row r="543" spans="1:10">
      <c r="A543" s="2">
        <v>542</v>
      </c>
      <c r="B543" s="3">
        <v>46242</v>
      </c>
      <c r="C543" s="2">
        <v>5</v>
      </c>
      <c r="D543" s="2">
        <v>2</v>
      </c>
      <c r="E543" s="2">
        <v>14.9</v>
      </c>
      <c r="F543" s="2">
        <v>1639</v>
      </c>
      <c r="G543" t="str">
        <f>_xlfn.XLOOKUP(C543,products!A:A,products!B:B)</f>
        <v>Grapes</v>
      </c>
      <c r="H543" t="str">
        <f>_xlfn.XLOOKUP(D543,stores!A:A,stores!B:B)</f>
        <v>Ohrid</v>
      </c>
      <c r="I543" t="str">
        <f t="shared" si="16"/>
        <v>NORMAL</v>
      </c>
      <c r="J543" s="4" t="str">
        <f t="shared" si="17"/>
        <v>8</v>
      </c>
    </row>
    <row r="544" spans="1:10">
      <c r="A544" s="2">
        <v>543</v>
      </c>
      <c r="B544" s="3">
        <v>46242</v>
      </c>
      <c r="C544" s="2">
        <v>6</v>
      </c>
      <c r="D544" s="2">
        <v>1</v>
      </c>
      <c r="E544" s="2">
        <v>5.2</v>
      </c>
      <c r="F544" s="2">
        <v>1144</v>
      </c>
      <c r="G544" t="str">
        <f>_xlfn.XLOOKUP(C544,products!A:A,products!B:B)</f>
        <v>Strawberry</v>
      </c>
      <c r="H544" t="str">
        <f>_xlfn.XLOOKUP(D544,stores!A:A,stores!B:B)</f>
        <v>Bitola</v>
      </c>
      <c r="I544" t="str">
        <f t="shared" si="16"/>
        <v>NORMAL</v>
      </c>
      <c r="J544" s="4" t="str">
        <f t="shared" si="17"/>
        <v>8</v>
      </c>
    </row>
    <row r="545" spans="1:10">
      <c r="A545" s="2">
        <v>544</v>
      </c>
      <c r="B545" s="3">
        <v>46242</v>
      </c>
      <c r="C545" s="2">
        <v>6</v>
      </c>
      <c r="D545" s="2">
        <v>2</v>
      </c>
      <c r="E545" s="2">
        <v>7.7</v>
      </c>
      <c r="F545" s="2">
        <v>1694</v>
      </c>
      <c r="G545" t="str">
        <f>_xlfn.XLOOKUP(C545,products!A:A,products!B:B)</f>
        <v>Strawberry</v>
      </c>
      <c r="H545" t="str">
        <f>_xlfn.XLOOKUP(D545,stores!A:A,stores!B:B)</f>
        <v>Ohrid</v>
      </c>
      <c r="I545" t="str">
        <f t="shared" si="16"/>
        <v>NORMAL</v>
      </c>
      <c r="J545" s="4" t="str">
        <f t="shared" si="17"/>
        <v>8</v>
      </c>
    </row>
    <row r="546" spans="1:10">
      <c r="A546" s="2">
        <v>545</v>
      </c>
      <c r="B546" s="3">
        <v>46242</v>
      </c>
      <c r="C546" s="2">
        <v>7</v>
      </c>
      <c r="D546" s="2">
        <v>1</v>
      </c>
      <c r="E546" s="2">
        <v>28.8</v>
      </c>
      <c r="F546" s="2">
        <v>2736</v>
      </c>
      <c r="G546" t="str">
        <f>_xlfn.XLOOKUP(C546,products!A:A,products!B:B)</f>
        <v>Peach</v>
      </c>
      <c r="H546" t="str">
        <f>_xlfn.XLOOKUP(D546,stores!A:A,stores!B:B)</f>
        <v>Bitola</v>
      </c>
      <c r="I546" t="str">
        <f t="shared" si="16"/>
        <v>NORMAL</v>
      </c>
      <c r="J546" s="4" t="str">
        <f t="shared" si="17"/>
        <v>8</v>
      </c>
    </row>
    <row r="547" spans="1:10">
      <c r="A547" s="2">
        <v>546</v>
      </c>
      <c r="B547" s="3">
        <v>46242</v>
      </c>
      <c r="C547" s="2">
        <v>7</v>
      </c>
      <c r="D547" s="2">
        <v>2</v>
      </c>
      <c r="E547" s="2">
        <v>62.3</v>
      </c>
      <c r="F547" s="2">
        <v>5918</v>
      </c>
      <c r="G547" t="str">
        <f>_xlfn.XLOOKUP(C547,products!A:A,products!B:B)</f>
        <v>Peach</v>
      </c>
      <c r="H547" t="str">
        <f>_xlfn.XLOOKUP(D547,stores!A:A,stores!B:B)</f>
        <v>Ohrid</v>
      </c>
      <c r="I547" t="str">
        <f t="shared" si="16"/>
        <v>BIG</v>
      </c>
      <c r="J547" s="4" t="str">
        <f t="shared" si="17"/>
        <v>8</v>
      </c>
    </row>
    <row r="548" spans="1:10">
      <c r="A548" s="2">
        <v>547</v>
      </c>
      <c r="B548" s="3">
        <v>46243</v>
      </c>
      <c r="C548" s="2">
        <v>1</v>
      </c>
      <c r="D548" s="2">
        <v>1</v>
      </c>
      <c r="E548" s="2">
        <v>29.9</v>
      </c>
      <c r="F548" s="2">
        <v>1794</v>
      </c>
      <c r="G548" t="str">
        <f>_xlfn.XLOOKUP(C548,products!A:A,products!B:B)</f>
        <v>Apple</v>
      </c>
      <c r="H548" t="str">
        <f>_xlfn.XLOOKUP(D548,stores!A:A,stores!B:B)</f>
        <v>Bitola</v>
      </c>
      <c r="I548" t="str">
        <f t="shared" si="16"/>
        <v>NORMAL</v>
      </c>
      <c r="J548" s="4" t="str">
        <f t="shared" si="17"/>
        <v>8</v>
      </c>
    </row>
    <row r="549" spans="1:10">
      <c r="A549" s="2">
        <v>548</v>
      </c>
      <c r="B549" s="3">
        <v>46243</v>
      </c>
      <c r="C549" s="2">
        <v>1</v>
      </c>
      <c r="D549" s="2">
        <v>2</v>
      </c>
      <c r="E549" s="2">
        <v>35.5</v>
      </c>
      <c r="F549" s="2">
        <v>2130</v>
      </c>
      <c r="G549" t="str">
        <f>_xlfn.XLOOKUP(C549,products!A:A,products!B:B)</f>
        <v>Apple</v>
      </c>
      <c r="H549" t="str">
        <f>_xlfn.XLOOKUP(D549,stores!A:A,stores!B:B)</f>
        <v>Ohrid</v>
      </c>
      <c r="I549" t="str">
        <f t="shared" si="16"/>
        <v>NORMAL</v>
      </c>
      <c r="J549" s="4" t="str">
        <f t="shared" si="17"/>
        <v>8</v>
      </c>
    </row>
    <row r="550" spans="1:10">
      <c r="A550" s="2">
        <v>549</v>
      </c>
      <c r="B550" s="3">
        <v>46243</v>
      </c>
      <c r="C550" s="2">
        <v>2</v>
      </c>
      <c r="D550" s="2">
        <v>1</v>
      </c>
      <c r="E550" s="2">
        <v>29.5</v>
      </c>
      <c r="F550" s="2">
        <v>2655</v>
      </c>
      <c r="G550" t="str">
        <f>_xlfn.XLOOKUP(C550,products!A:A,products!B:B)</f>
        <v>Banana</v>
      </c>
      <c r="H550" t="str">
        <f>_xlfn.XLOOKUP(D550,stores!A:A,stores!B:B)</f>
        <v>Bitola</v>
      </c>
      <c r="I550" t="str">
        <f t="shared" si="16"/>
        <v>NORMAL</v>
      </c>
      <c r="J550" s="4" t="str">
        <f t="shared" si="17"/>
        <v>8</v>
      </c>
    </row>
    <row r="551" spans="1:10">
      <c r="A551" s="2">
        <v>550</v>
      </c>
      <c r="B551" s="3">
        <v>46243</v>
      </c>
      <c r="C551" s="2">
        <v>2</v>
      </c>
      <c r="D551" s="2">
        <v>2</v>
      </c>
      <c r="E551" s="2">
        <v>41.5</v>
      </c>
      <c r="F551" s="2">
        <v>3735</v>
      </c>
      <c r="G551" t="str">
        <f>_xlfn.XLOOKUP(C551,products!A:A,products!B:B)</f>
        <v>Banana</v>
      </c>
      <c r="H551" t="str">
        <f>_xlfn.XLOOKUP(D551,stores!A:A,stores!B:B)</f>
        <v>Ohrid</v>
      </c>
      <c r="I551" t="str">
        <f t="shared" si="16"/>
        <v>NORMAL</v>
      </c>
      <c r="J551" s="4" t="str">
        <f t="shared" si="17"/>
        <v>8</v>
      </c>
    </row>
    <row r="552" spans="1:10">
      <c r="A552" s="2">
        <v>551</v>
      </c>
      <c r="B552" s="3">
        <v>46243</v>
      </c>
      <c r="C552" s="2">
        <v>3</v>
      </c>
      <c r="D552" s="2">
        <v>1</v>
      </c>
      <c r="E552" s="2">
        <v>10.1</v>
      </c>
      <c r="F552" s="2">
        <v>808</v>
      </c>
      <c r="G552" t="str">
        <f>_xlfn.XLOOKUP(C552,products!A:A,products!B:B)</f>
        <v>Orange</v>
      </c>
      <c r="H552" t="str">
        <f>_xlfn.XLOOKUP(D552,stores!A:A,stores!B:B)</f>
        <v>Bitola</v>
      </c>
      <c r="I552" t="str">
        <f t="shared" si="16"/>
        <v>NORMAL</v>
      </c>
      <c r="J552" s="4" t="str">
        <f t="shared" si="17"/>
        <v>8</v>
      </c>
    </row>
    <row r="553" spans="1:10">
      <c r="A553" s="2">
        <v>552</v>
      </c>
      <c r="B553" s="3">
        <v>46243</v>
      </c>
      <c r="C553" s="2">
        <v>3</v>
      </c>
      <c r="D553" s="2">
        <v>2</v>
      </c>
      <c r="E553" s="2">
        <v>12.5</v>
      </c>
      <c r="F553" s="2">
        <v>1000</v>
      </c>
      <c r="G553" t="str">
        <f>_xlfn.XLOOKUP(C553,products!A:A,products!B:B)</f>
        <v>Orange</v>
      </c>
      <c r="H553" t="str">
        <f>_xlfn.XLOOKUP(D553,stores!A:A,stores!B:B)</f>
        <v>Ohrid</v>
      </c>
      <c r="I553" t="str">
        <f t="shared" si="16"/>
        <v>NORMAL</v>
      </c>
      <c r="J553" s="4" t="str">
        <f t="shared" si="17"/>
        <v>8</v>
      </c>
    </row>
    <row r="554" spans="1:10">
      <c r="A554" s="2">
        <v>553</v>
      </c>
      <c r="B554" s="3">
        <v>46243</v>
      </c>
      <c r="C554" s="2">
        <v>4</v>
      </c>
      <c r="D554" s="2">
        <v>1</v>
      </c>
      <c r="E554" s="2">
        <v>127.6</v>
      </c>
      <c r="F554" s="2">
        <v>3190</v>
      </c>
      <c r="G554" t="str">
        <f>_xlfn.XLOOKUP(C554,products!A:A,products!B:B)</f>
        <v>Watermelon</v>
      </c>
      <c r="H554" t="str">
        <f>_xlfn.XLOOKUP(D554,stores!A:A,stores!B:B)</f>
        <v>Bitola</v>
      </c>
      <c r="I554" t="str">
        <f t="shared" si="16"/>
        <v>BIG</v>
      </c>
      <c r="J554" s="4" t="str">
        <f t="shared" si="17"/>
        <v>8</v>
      </c>
    </row>
    <row r="555" spans="1:10">
      <c r="A555" s="2">
        <v>554</v>
      </c>
      <c r="B555" s="3">
        <v>46243</v>
      </c>
      <c r="C555" s="2">
        <v>4</v>
      </c>
      <c r="D555" s="2">
        <v>2</v>
      </c>
      <c r="E555" s="2">
        <v>180.8</v>
      </c>
      <c r="F555" s="2">
        <v>4520</v>
      </c>
      <c r="G555" t="str">
        <f>_xlfn.XLOOKUP(C555,products!A:A,products!B:B)</f>
        <v>Watermelon</v>
      </c>
      <c r="H555" t="str">
        <f>_xlfn.XLOOKUP(D555,stores!A:A,stores!B:B)</f>
        <v>Ohrid</v>
      </c>
      <c r="I555" t="str">
        <f t="shared" si="16"/>
        <v>BIG</v>
      </c>
      <c r="J555" s="4" t="str">
        <f t="shared" si="17"/>
        <v>8</v>
      </c>
    </row>
    <row r="556" spans="1:10">
      <c r="A556" s="2">
        <v>555</v>
      </c>
      <c r="B556" s="3">
        <v>46243</v>
      </c>
      <c r="C556" s="2">
        <v>5</v>
      </c>
      <c r="D556" s="2">
        <v>1</v>
      </c>
      <c r="E556" s="2">
        <v>21.7</v>
      </c>
      <c r="F556" s="2">
        <v>2387</v>
      </c>
      <c r="G556" t="str">
        <f>_xlfn.XLOOKUP(C556,products!A:A,products!B:B)</f>
        <v>Grapes</v>
      </c>
      <c r="H556" t="str">
        <f>_xlfn.XLOOKUP(D556,stores!A:A,stores!B:B)</f>
        <v>Bitola</v>
      </c>
      <c r="I556" t="str">
        <f t="shared" si="16"/>
        <v>NORMAL</v>
      </c>
      <c r="J556" s="4" t="str">
        <f t="shared" si="17"/>
        <v>8</v>
      </c>
    </row>
    <row r="557" spans="1:10">
      <c r="A557" s="2">
        <v>556</v>
      </c>
      <c r="B557" s="3">
        <v>46243</v>
      </c>
      <c r="C557" s="2">
        <v>5</v>
      </c>
      <c r="D557" s="2">
        <v>2</v>
      </c>
      <c r="E557" s="2">
        <v>22</v>
      </c>
      <c r="F557" s="2">
        <v>2420</v>
      </c>
      <c r="G557" t="str">
        <f>_xlfn.XLOOKUP(C557,products!A:A,products!B:B)</f>
        <v>Grapes</v>
      </c>
      <c r="H557" t="str">
        <f>_xlfn.XLOOKUP(D557,stores!A:A,stores!B:B)</f>
        <v>Ohrid</v>
      </c>
      <c r="I557" t="str">
        <f t="shared" si="16"/>
        <v>NORMAL</v>
      </c>
      <c r="J557" s="4" t="str">
        <f t="shared" si="17"/>
        <v>8</v>
      </c>
    </row>
    <row r="558" spans="1:10">
      <c r="A558" s="2">
        <v>557</v>
      </c>
      <c r="B558" s="3">
        <v>46243</v>
      </c>
      <c r="C558" s="2">
        <v>6</v>
      </c>
      <c r="D558" s="2">
        <v>1</v>
      </c>
      <c r="E558" s="2">
        <v>7.1</v>
      </c>
      <c r="F558" s="2">
        <v>1562</v>
      </c>
      <c r="G558" t="str">
        <f>_xlfn.XLOOKUP(C558,products!A:A,products!B:B)</f>
        <v>Strawberry</v>
      </c>
      <c r="H558" t="str">
        <f>_xlfn.XLOOKUP(D558,stores!A:A,stores!B:B)</f>
        <v>Bitola</v>
      </c>
      <c r="I558" t="str">
        <f t="shared" si="16"/>
        <v>NORMAL</v>
      </c>
      <c r="J558" s="4" t="str">
        <f t="shared" si="17"/>
        <v>8</v>
      </c>
    </row>
    <row r="559" spans="1:10">
      <c r="A559" s="2">
        <v>558</v>
      </c>
      <c r="B559" s="3">
        <v>46243</v>
      </c>
      <c r="C559" s="2">
        <v>6</v>
      </c>
      <c r="D559" s="2">
        <v>2</v>
      </c>
      <c r="E559" s="2">
        <v>10.5</v>
      </c>
      <c r="F559" s="2">
        <v>2310</v>
      </c>
      <c r="G559" t="str">
        <f>_xlfn.XLOOKUP(C559,products!A:A,products!B:B)</f>
        <v>Strawberry</v>
      </c>
      <c r="H559" t="str">
        <f>_xlfn.XLOOKUP(D559,stores!A:A,stores!B:B)</f>
        <v>Ohrid</v>
      </c>
      <c r="I559" t="str">
        <f t="shared" si="16"/>
        <v>NORMAL</v>
      </c>
      <c r="J559" s="4" t="str">
        <f t="shared" si="17"/>
        <v>8</v>
      </c>
    </row>
    <row r="560" spans="1:10">
      <c r="A560" s="2">
        <v>559</v>
      </c>
      <c r="B560" s="3">
        <v>46243</v>
      </c>
      <c r="C560" s="2">
        <v>7</v>
      </c>
      <c r="D560" s="2">
        <v>1</v>
      </c>
      <c r="E560" s="2">
        <v>33.7</v>
      </c>
      <c r="F560" s="2">
        <v>3202</v>
      </c>
      <c r="G560" t="str">
        <f>_xlfn.XLOOKUP(C560,products!A:A,products!B:B)</f>
        <v>Peach</v>
      </c>
      <c r="H560" t="str">
        <f>_xlfn.XLOOKUP(D560,stores!A:A,stores!B:B)</f>
        <v>Bitola</v>
      </c>
      <c r="I560" t="str">
        <f t="shared" si="16"/>
        <v>NORMAL</v>
      </c>
      <c r="J560" s="4" t="str">
        <f t="shared" si="17"/>
        <v>8</v>
      </c>
    </row>
    <row r="561" spans="1:10">
      <c r="A561" s="2">
        <v>560</v>
      </c>
      <c r="B561" s="3">
        <v>46243</v>
      </c>
      <c r="C561" s="2">
        <v>7</v>
      </c>
      <c r="D561" s="2">
        <v>2</v>
      </c>
      <c r="E561" s="2">
        <v>39.9</v>
      </c>
      <c r="F561" s="2">
        <v>3790</v>
      </c>
      <c r="G561" t="str">
        <f>_xlfn.XLOOKUP(C561,products!A:A,products!B:B)</f>
        <v>Peach</v>
      </c>
      <c r="H561" t="str">
        <f>_xlfn.XLOOKUP(D561,stores!A:A,stores!B:B)</f>
        <v>Ohrid</v>
      </c>
      <c r="I561" t="str">
        <f t="shared" si="16"/>
        <v>NORMAL</v>
      </c>
      <c r="J561" s="4" t="str">
        <f t="shared" si="17"/>
        <v>8</v>
      </c>
    </row>
    <row r="562" spans="1:10">
      <c r="A562" s="2">
        <v>561</v>
      </c>
      <c r="B562" s="3">
        <v>46244</v>
      </c>
      <c r="C562" s="2">
        <v>1</v>
      </c>
      <c r="D562" s="2">
        <v>1</v>
      </c>
      <c r="E562" s="2">
        <v>16.5</v>
      </c>
      <c r="F562" s="2">
        <v>990</v>
      </c>
      <c r="G562" t="str">
        <f>_xlfn.XLOOKUP(C562,products!A:A,products!B:B)</f>
        <v>Apple</v>
      </c>
      <c r="H562" t="str">
        <f>_xlfn.XLOOKUP(D562,stores!A:A,stores!B:B)</f>
        <v>Bitola</v>
      </c>
      <c r="I562" t="str">
        <f t="shared" si="16"/>
        <v>NORMAL</v>
      </c>
      <c r="J562" s="4" t="str">
        <f t="shared" si="17"/>
        <v>8</v>
      </c>
    </row>
    <row r="563" spans="1:10">
      <c r="A563" s="2">
        <v>562</v>
      </c>
      <c r="B563" s="3">
        <v>46244</v>
      </c>
      <c r="C563" s="2">
        <v>1</v>
      </c>
      <c r="D563" s="2">
        <v>2</v>
      </c>
      <c r="E563" s="2">
        <v>32.5</v>
      </c>
      <c r="F563" s="2">
        <v>1950</v>
      </c>
      <c r="G563" t="str">
        <f>_xlfn.XLOOKUP(C563,products!A:A,products!B:B)</f>
        <v>Apple</v>
      </c>
      <c r="H563" t="str">
        <f>_xlfn.XLOOKUP(D563,stores!A:A,stores!B:B)</f>
        <v>Ohrid</v>
      </c>
      <c r="I563" t="str">
        <f t="shared" si="16"/>
        <v>NORMAL</v>
      </c>
      <c r="J563" s="4" t="str">
        <f t="shared" si="17"/>
        <v>8</v>
      </c>
    </row>
    <row r="564" spans="1:10">
      <c r="A564" s="2">
        <v>563</v>
      </c>
      <c r="B564" s="3">
        <v>46244</v>
      </c>
      <c r="C564" s="2">
        <v>2</v>
      </c>
      <c r="D564" s="2">
        <v>1</v>
      </c>
      <c r="E564" s="2">
        <v>19.6</v>
      </c>
      <c r="F564" s="2">
        <v>1764</v>
      </c>
      <c r="G564" t="str">
        <f>_xlfn.XLOOKUP(C564,products!A:A,products!B:B)</f>
        <v>Banana</v>
      </c>
      <c r="H564" t="str">
        <f>_xlfn.XLOOKUP(D564,stores!A:A,stores!B:B)</f>
        <v>Bitola</v>
      </c>
      <c r="I564" t="str">
        <f t="shared" si="16"/>
        <v>NORMAL</v>
      </c>
      <c r="J564" s="4" t="str">
        <f t="shared" si="17"/>
        <v>8</v>
      </c>
    </row>
    <row r="565" spans="1:10">
      <c r="A565" s="2">
        <v>564</v>
      </c>
      <c r="B565" s="3">
        <v>46244</v>
      </c>
      <c r="C565" s="2">
        <v>2</v>
      </c>
      <c r="D565" s="2">
        <v>2</v>
      </c>
      <c r="E565" s="2">
        <v>35.8</v>
      </c>
      <c r="F565" s="2">
        <v>3222</v>
      </c>
      <c r="G565" t="str">
        <f>_xlfn.XLOOKUP(C565,products!A:A,products!B:B)</f>
        <v>Banana</v>
      </c>
      <c r="H565" t="str">
        <f>_xlfn.XLOOKUP(D565,stores!A:A,stores!B:B)</f>
        <v>Ohrid</v>
      </c>
      <c r="I565" t="str">
        <f t="shared" si="16"/>
        <v>NORMAL</v>
      </c>
      <c r="J565" s="4" t="str">
        <f t="shared" si="17"/>
        <v>8</v>
      </c>
    </row>
    <row r="566" spans="1:10">
      <c r="A566" s="2">
        <v>565</v>
      </c>
      <c r="B566" s="3">
        <v>46244</v>
      </c>
      <c r="C566" s="2">
        <v>3</v>
      </c>
      <c r="D566" s="2">
        <v>1</v>
      </c>
      <c r="E566" s="2">
        <v>11</v>
      </c>
      <c r="F566" s="2">
        <v>880</v>
      </c>
      <c r="G566" t="str">
        <f>_xlfn.XLOOKUP(C566,products!A:A,products!B:B)</f>
        <v>Orange</v>
      </c>
      <c r="H566" t="str">
        <f>_xlfn.XLOOKUP(D566,stores!A:A,stores!B:B)</f>
        <v>Bitola</v>
      </c>
      <c r="I566" t="str">
        <f t="shared" si="16"/>
        <v>NORMAL</v>
      </c>
      <c r="J566" s="4" t="str">
        <f t="shared" si="17"/>
        <v>8</v>
      </c>
    </row>
    <row r="567" spans="1:10">
      <c r="A567" s="2">
        <v>566</v>
      </c>
      <c r="B567" s="3">
        <v>46244</v>
      </c>
      <c r="C567" s="2">
        <v>3</v>
      </c>
      <c r="D567" s="2">
        <v>2</v>
      </c>
      <c r="E567" s="2">
        <v>9.4</v>
      </c>
      <c r="F567" s="2">
        <v>752</v>
      </c>
      <c r="G567" t="str">
        <f>_xlfn.XLOOKUP(C567,products!A:A,products!B:B)</f>
        <v>Orange</v>
      </c>
      <c r="H567" t="str">
        <f>_xlfn.XLOOKUP(D567,stores!A:A,stores!B:B)</f>
        <v>Ohrid</v>
      </c>
      <c r="I567" t="str">
        <f t="shared" si="16"/>
        <v>NORMAL</v>
      </c>
      <c r="J567" s="4" t="str">
        <f t="shared" si="17"/>
        <v>8</v>
      </c>
    </row>
    <row r="568" spans="1:10">
      <c r="A568" s="2">
        <v>567</v>
      </c>
      <c r="B568" s="3">
        <v>46244</v>
      </c>
      <c r="C568" s="2">
        <v>4</v>
      </c>
      <c r="D568" s="2">
        <v>1</v>
      </c>
      <c r="E568" s="2">
        <v>112.1</v>
      </c>
      <c r="F568" s="2">
        <v>2802</v>
      </c>
      <c r="G568" t="str">
        <f>_xlfn.XLOOKUP(C568,products!A:A,products!B:B)</f>
        <v>Watermelon</v>
      </c>
      <c r="H568" t="str">
        <f>_xlfn.XLOOKUP(D568,stores!A:A,stores!B:B)</f>
        <v>Bitola</v>
      </c>
      <c r="I568" t="str">
        <f t="shared" si="16"/>
        <v>BIG</v>
      </c>
      <c r="J568" s="4" t="str">
        <f t="shared" si="17"/>
        <v>8</v>
      </c>
    </row>
    <row r="569" spans="1:10">
      <c r="A569" s="2">
        <v>568</v>
      </c>
      <c r="B569" s="3">
        <v>46244</v>
      </c>
      <c r="C569" s="2">
        <v>4</v>
      </c>
      <c r="D569" s="2">
        <v>2</v>
      </c>
      <c r="E569" s="2">
        <v>157.6</v>
      </c>
      <c r="F569" s="2">
        <v>3940</v>
      </c>
      <c r="G569" t="str">
        <f>_xlfn.XLOOKUP(C569,products!A:A,products!B:B)</f>
        <v>Watermelon</v>
      </c>
      <c r="H569" t="str">
        <f>_xlfn.XLOOKUP(D569,stores!A:A,stores!B:B)</f>
        <v>Ohrid</v>
      </c>
      <c r="I569" t="str">
        <f t="shared" si="16"/>
        <v>BIG</v>
      </c>
      <c r="J569" s="4" t="str">
        <f t="shared" si="17"/>
        <v>8</v>
      </c>
    </row>
    <row r="570" spans="1:10">
      <c r="A570" s="2">
        <v>569</v>
      </c>
      <c r="B570" s="3">
        <v>46244</v>
      </c>
      <c r="C570" s="2">
        <v>5</v>
      </c>
      <c r="D570" s="2">
        <v>1</v>
      </c>
      <c r="E570" s="2">
        <v>11.3</v>
      </c>
      <c r="F570" s="2">
        <v>1243</v>
      </c>
      <c r="G570" t="str">
        <f>_xlfn.XLOOKUP(C570,products!A:A,products!B:B)</f>
        <v>Grapes</v>
      </c>
      <c r="H570" t="str">
        <f>_xlfn.XLOOKUP(D570,stores!A:A,stores!B:B)</f>
        <v>Bitola</v>
      </c>
      <c r="I570" t="str">
        <f t="shared" si="16"/>
        <v>NORMAL</v>
      </c>
      <c r="J570" s="4" t="str">
        <f t="shared" si="17"/>
        <v>8</v>
      </c>
    </row>
    <row r="571" spans="1:10">
      <c r="A571" s="2">
        <v>570</v>
      </c>
      <c r="B571" s="3">
        <v>46244</v>
      </c>
      <c r="C571" s="2">
        <v>5</v>
      </c>
      <c r="D571" s="2">
        <v>2</v>
      </c>
      <c r="E571" s="2">
        <v>16.1</v>
      </c>
      <c r="F571" s="2">
        <v>1771</v>
      </c>
      <c r="G571" t="str">
        <f>_xlfn.XLOOKUP(C571,products!A:A,products!B:B)</f>
        <v>Grapes</v>
      </c>
      <c r="H571" t="str">
        <f>_xlfn.XLOOKUP(D571,stores!A:A,stores!B:B)</f>
        <v>Ohrid</v>
      </c>
      <c r="I571" t="str">
        <f t="shared" si="16"/>
        <v>NORMAL</v>
      </c>
      <c r="J571" s="4" t="str">
        <f t="shared" si="17"/>
        <v>8</v>
      </c>
    </row>
    <row r="572" spans="1:10">
      <c r="A572" s="2">
        <v>571</v>
      </c>
      <c r="B572" s="3">
        <v>46244</v>
      </c>
      <c r="C572" s="2">
        <v>6</v>
      </c>
      <c r="D572" s="2">
        <v>1</v>
      </c>
      <c r="E572" s="2">
        <v>3.8</v>
      </c>
      <c r="F572" s="2">
        <v>836</v>
      </c>
      <c r="G572" t="str">
        <f>_xlfn.XLOOKUP(C572,products!A:A,products!B:B)</f>
        <v>Strawberry</v>
      </c>
      <c r="H572" t="str">
        <f>_xlfn.XLOOKUP(D572,stores!A:A,stores!B:B)</f>
        <v>Bitola</v>
      </c>
      <c r="I572" t="str">
        <f t="shared" si="16"/>
        <v>NORMAL</v>
      </c>
      <c r="J572" s="4" t="str">
        <f t="shared" si="17"/>
        <v>8</v>
      </c>
    </row>
    <row r="573" spans="1:10">
      <c r="A573" s="2">
        <v>572</v>
      </c>
      <c r="B573" s="3">
        <v>46244</v>
      </c>
      <c r="C573" s="2">
        <v>6</v>
      </c>
      <c r="D573" s="2">
        <v>2</v>
      </c>
      <c r="E573" s="2">
        <v>4.8</v>
      </c>
      <c r="F573" s="2">
        <v>1056</v>
      </c>
      <c r="G573" t="str">
        <f>_xlfn.XLOOKUP(C573,products!A:A,products!B:B)</f>
        <v>Strawberry</v>
      </c>
      <c r="H573" t="str">
        <f>_xlfn.XLOOKUP(D573,stores!A:A,stores!B:B)</f>
        <v>Ohrid</v>
      </c>
      <c r="I573" t="str">
        <f t="shared" si="16"/>
        <v>NORMAL</v>
      </c>
      <c r="J573" s="4" t="str">
        <f t="shared" si="17"/>
        <v>8</v>
      </c>
    </row>
    <row r="574" spans="1:10">
      <c r="A574" s="2">
        <v>573</v>
      </c>
      <c r="B574" s="3">
        <v>46244</v>
      </c>
      <c r="C574" s="2">
        <v>7</v>
      </c>
      <c r="D574" s="2">
        <v>1</v>
      </c>
      <c r="E574" s="2">
        <v>24.6</v>
      </c>
      <c r="F574" s="2">
        <v>2337</v>
      </c>
      <c r="G574" t="str">
        <f>_xlfn.XLOOKUP(C574,products!A:A,products!B:B)</f>
        <v>Peach</v>
      </c>
      <c r="H574" t="str">
        <f>_xlfn.XLOOKUP(D574,stores!A:A,stores!B:B)</f>
        <v>Bitola</v>
      </c>
      <c r="I574" t="str">
        <f t="shared" si="16"/>
        <v>NORMAL</v>
      </c>
      <c r="J574" s="4" t="str">
        <f t="shared" si="17"/>
        <v>8</v>
      </c>
    </row>
    <row r="575" spans="1:10">
      <c r="A575" s="2">
        <v>574</v>
      </c>
      <c r="B575" s="3">
        <v>46244</v>
      </c>
      <c r="C575" s="2">
        <v>7</v>
      </c>
      <c r="D575" s="2">
        <v>2</v>
      </c>
      <c r="E575" s="2">
        <v>18.9</v>
      </c>
      <c r="F575" s="2">
        <v>1795</v>
      </c>
      <c r="G575" t="str">
        <f>_xlfn.XLOOKUP(C575,products!A:A,products!B:B)</f>
        <v>Peach</v>
      </c>
      <c r="H575" t="str">
        <f>_xlfn.XLOOKUP(D575,stores!A:A,stores!B:B)</f>
        <v>Ohrid</v>
      </c>
      <c r="I575" t="str">
        <f t="shared" si="16"/>
        <v>NORMAL</v>
      </c>
      <c r="J575" s="4" t="str">
        <f t="shared" si="17"/>
        <v>8</v>
      </c>
    </row>
    <row r="576" spans="1:10">
      <c r="A576" s="2">
        <v>575</v>
      </c>
      <c r="B576" s="3">
        <v>46245</v>
      </c>
      <c r="C576" s="2">
        <v>1</v>
      </c>
      <c r="D576" s="2">
        <v>1</v>
      </c>
      <c r="E576" s="2">
        <v>19.1</v>
      </c>
      <c r="F576" s="2">
        <v>1146</v>
      </c>
      <c r="G576" t="str">
        <f>_xlfn.XLOOKUP(C576,products!A:A,products!B:B)</f>
        <v>Apple</v>
      </c>
      <c r="H576" t="str">
        <f>_xlfn.XLOOKUP(D576,stores!A:A,stores!B:B)</f>
        <v>Bitola</v>
      </c>
      <c r="I576" t="str">
        <f t="shared" si="16"/>
        <v>NORMAL</v>
      </c>
      <c r="J576" s="4" t="str">
        <f t="shared" si="17"/>
        <v>8</v>
      </c>
    </row>
    <row r="577" spans="1:10">
      <c r="A577" s="2">
        <v>576</v>
      </c>
      <c r="B577" s="3">
        <v>46245</v>
      </c>
      <c r="C577" s="2">
        <v>1</v>
      </c>
      <c r="D577" s="2">
        <v>2</v>
      </c>
      <c r="E577" s="2">
        <v>40.8</v>
      </c>
      <c r="F577" s="2">
        <v>2448</v>
      </c>
      <c r="G577" t="str">
        <f>_xlfn.XLOOKUP(C577,products!A:A,products!B:B)</f>
        <v>Apple</v>
      </c>
      <c r="H577" t="str">
        <f>_xlfn.XLOOKUP(D577,stores!A:A,stores!B:B)</f>
        <v>Ohrid</v>
      </c>
      <c r="I577" t="str">
        <f t="shared" si="16"/>
        <v>NORMAL</v>
      </c>
      <c r="J577" s="4" t="str">
        <f t="shared" si="17"/>
        <v>8</v>
      </c>
    </row>
    <row r="578" spans="1:10">
      <c r="A578" s="2">
        <v>577</v>
      </c>
      <c r="B578" s="3">
        <v>46245</v>
      </c>
      <c r="C578" s="2">
        <v>2</v>
      </c>
      <c r="D578" s="2">
        <v>1</v>
      </c>
      <c r="E578" s="2">
        <v>18.6</v>
      </c>
      <c r="F578" s="2">
        <v>1674</v>
      </c>
      <c r="G578" t="str">
        <f>_xlfn.XLOOKUP(C578,products!A:A,products!B:B)</f>
        <v>Banana</v>
      </c>
      <c r="H578" t="str">
        <f>_xlfn.XLOOKUP(D578,stores!A:A,stores!B:B)</f>
        <v>Bitola</v>
      </c>
      <c r="I578" t="str">
        <f t="shared" ref="I578:I641" si="18">IF(E578&gt;50,"BIG","NORMAL")</f>
        <v>NORMAL</v>
      </c>
      <c r="J578" s="4" t="str">
        <f t="shared" ref="J578:J641" si="19">TEXT(B578,"m")</f>
        <v>8</v>
      </c>
    </row>
    <row r="579" spans="1:10">
      <c r="A579" s="2">
        <v>578</v>
      </c>
      <c r="B579" s="3">
        <v>46245</v>
      </c>
      <c r="C579" s="2">
        <v>2</v>
      </c>
      <c r="D579" s="2">
        <v>2</v>
      </c>
      <c r="E579" s="2">
        <v>34</v>
      </c>
      <c r="F579" s="2">
        <v>3060</v>
      </c>
      <c r="G579" t="str">
        <f>_xlfn.XLOOKUP(C579,products!A:A,products!B:B)</f>
        <v>Banana</v>
      </c>
      <c r="H579" t="str">
        <f>_xlfn.XLOOKUP(D579,stores!A:A,stores!B:B)</f>
        <v>Ohrid</v>
      </c>
      <c r="I579" t="str">
        <f t="shared" si="18"/>
        <v>NORMAL</v>
      </c>
      <c r="J579" s="4" t="str">
        <f t="shared" si="19"/>
        <v>8</v>
      </c>
    </row>
    <row r="580" spans="1:10">
      <c r="A580" s="2">
        <v>579</v>
      </c>
      <c r="B580" s="3">
        <v>46245</v>
      </c>
      <c r="C580" s="2">
        <v>3</v>
      </c>
      <c r="D580" s="2">
        <v>1</v>
      </c>
      <c r="E580" s="2">
        <v>6.3</v>
      </c>
      <c r="F580" s="2">
        <v>504</v>
      </c>
      <c r="G580" t="str">
        <f>_xlfn.XLOOKUP(C580,products!A:A,products!B:B)</f>
        <v>Orange</v>
      </c>
      <c r="H580" t="str">
        <f>_xlfn.XLOOKUP(D580,stores!A:A,stores!B:B)</f>
        <v>Bitola</v>
      </c>
      <c r="I580" t="str">
        <f t="shared" si="18"/>
        <v>NORMAL</v>
      </c>
      <c r="J580" s="4" t="str">
        <f t="shared" si="19"/>
        <v>8</v>
      </c>
    </row>
    <row r="581" spans="1:10">
      <c r="A581" s="2">
        <v>580</v>
      </c>
      <c r="B581" s="3">
        <v>46245</v>
      </c>
      <c r="C581" s="2">
        <v>3</v>
      </c>
      <c r="D581" s="2">
        <v>2</v>
      </c>
      <c r="E581" s="2">
        <v>15.2</v>
      </c>
      <c r="F581" s="2">
        <v>1216</v>
      </c>
      <c r="G581" t="str">
        <f>_xlfn.XLOOKUP(C581,products!A:A,products!B:B)</f>
        <v>Orange</v>
      </c>
      <c r="H581" t="str">
        <f>_xlfn.XLOOKUP(D581,stores!A:A,stores!B:B)</f>
        <v>Ohrid</v>
      </c>
      <c r="I581" t="str">
        <f t="shared" si="18"/>
        <v>NORMAL</v>
      </c>
      <c r="J581" s="4" t="str">
        <f t="shared" si="19"/>
        <v>8</v>
      </c>
    </row>
    <row r="582" spans="1:10">
      <c r="A582" s="2">
        <v>581</v>
      </c>
      <c r="B582" s="3">
        <v>46245</v>
      </c>
      <c r="C582" s="2">
        <v>4</v>
      </c>
      <c r="D582" s="2">
        <v>1</v>
      </c>
      <c r="E582" s="2">
        <v>76.4</v>
      </c>
      <c r="F582" s="2">
        <v>1910</v>
      </c>
      <c r="G582" t="str">
        <f>_xlfn.XLOOKUP(C582,products!A:A,products!B:B)</f>
        <v>Watermelon</v>
      </c>
      <c r="H582" t="str">
        <f>_xlfn.XLOOKUP(D582,stores!A:A,stores!B:B)</f>
        <v>Bitola</v>
      </c>
      <c r="I582" t="str">
        <f t="shared" si="18"/>
        <v>BIG</v>
      </c>
      <c r="J582" s="4" t="str">
        <f t="shared" si="19"/>
        <v>8</v>
      </c>
    </row>
    <row r="583" spans="1:10">
      <c r="A583" s="2">
        <v>582</v>
      </c>
      <c r="B583" s="3">
        <v>46245</v>
      </c>
      <c r="C583" s="2">
        <v>4</v>
      </c>
      <c r="D583" s="2">
        <v>2</v>
      </c>
      <c r="E583" s="2">
        <v>166.6</v>
      </c>
      <c r="F583" s="2">
        <v>4165</v>
      </c>
      <c r="G583" t="str">
        <f>_xlfn.XLOOKUP(C583,products!A:A,products!B:B)</f>
        <v>Watermelon</v>
      </c>
      <c r="H583" t="str">
        <f>_xlfn.XLOOKUP(D583,stores!A:A,stores!B:B)</f>
        <v>Ohrid</v>
      </c>
      <c r="I583" t="str">
        <f t="shared" si="18"/>
        <v>BIG</v>
      </c>
      <c r="J583" s="4" t="str">
        <f t="shared" si="19"/>
        <v>8</v>
      </c>
    </row>
    <row r="584" spans="1:10">
      <c r="A584" s="2">
        <v>583</v>
      </c>
      <c r="B584" s="3">
        <v>46245</v>
      </c>
      <c r="C584" s="2">
        <v>5</v>
      </c>
      <c r="D584" s="2">
        <v>1</v>
      </c>
      <c r="E584" s="2">
        <v>15.6</v>
      </c>
      <c r="F584" s="2">
        <v>1716</v>
      </c>
      <c r="G584" t="str">
        <f>_xlfn.XLOOKUP(C584,products!A:A,products!B:B)</f>
        <v>Grapes</v>
      </c>
      <c r="H584" t="str">
        <f>_xlfn.XLOOKUP(D584,stores!A:A,stores!B:B)</f>
        <v>Bitola</v>
      </c>
      <c r="I584" t="str">
        <f t="shared" si="18"/>
        <v>NORMAL</v>
      </c>
      <c r="J584" s="4" t="str">
        <f t="shared" si="19"/>
        <v>8</v>
      </c>
    </row>
    <row r="585" spans="1:10">
      <c r="A585" s="2">
        <v>584</v>
      </c>
      <c r="B585" s="3">
        <v>46245</v>
      </c>
      <c r="C585" s="2">
        <v>5</v>
      </c>
      <c r="D585" s="2">
        <v>2</v>
      </c>
      <c r="E585" s="2">
        <v>20.8</v>
      </c>
      <c r="F585" s="2">
        <v>2288</v>
      </c>
      <c r="G585" t="str">
        <f>_xlfn.XLOOKUP(C585,products!A:A,products!B:B)</f>
        <v>Grapes</v>
      </c>
      <c r="H585" t="str">
        <f>_xlfn.XLOOKUP(D585,stores!A:A,stores!B:B)</f>
        <v>Ohrid</v>
      </c>
      <c r="I585" t="str">
        <f t="shared" si="18"/>
        <v>NORMAL</v>
      </c>
      <c r="J585" s="4" t="str">
        <f t="shared" si="19"/>
        <v>8</v>
      </c>
    </row>
    <row r="586" spans="1:10">
      <c r="A586" s="2">
        <v>585</v>
      </c>
      <c r="B586" s="3">
        <v>46245</v>
      </c>
      <c r="C586" s="2">
        <v>6</v>
      </c>
      <c r="D586" s="2">
        <v>1</v>
      </c>
      <c r="E586" s="2">
        <v>4.4</v>
      </c>
      <c r="F586" s="2">
        <v>968</v>
      </c>
      <c r="G586" t="str">
        <f>_xlfn.XLOOKUP(C586,products!A:A,products!B:B)</f>
        <v>Strawberry</v>
      </c>
      <c r="H586" t="str">
        <f>_xlfn.XLOOKUP(D586,stores!A:A,stores!B:B)</f>
        <v>Bitola</v>
      </c>
      <c r="I586" t="str">
        <f t="shared" si="18"/>
        <v>NORMAL</v>
      </c>
      <c r="J586" s="4" t="str">
        <f t="shared" si="19"/>
        <v>8</v>
      </c>
    </row>
    <row r="587" spans="1:10">
      <c r="A587" s="2">
        <v>586</v>
      </c>
      <c r="B587" s="3">
        <v>46245</v>
      </c>
      <c r="C587" s="2">
        <v>6</v>
      </c>
      <c r="D587" s="2">
        <v>2</v>
      </c>
      <c r="E587" s="2">
        <v>5.4</v>
      </c>
      <c r="F587" s="2">
        <v>1188</v>
      </c>
      <c r="G587" t="str">
        <f>_xlfn.XLOOKUP(C587,products!A:A,products!B:B)</f>
        <v>Strawberry</v>
      </c>
      <c r="H587" t="str">
        <f>_xlfn.XLOOKUP(D587,stores!A:A,stores!B:B)</f>
        <v>Ohrid</v>
      </c>
      <c r="I587" t="str">
        <f t="shared" si="18"/>
        <v>NORMAL</v>
      </c>
      <c r="J587" s="4" t="str">
        <f t="shared" si="19"/>
        <v>8</v>
      </c>
    </row>
    <row r="588" spans="1:10">
      <c r="A588" s="2">
        <v>587</v>
      </c>
      <c r="B588" s="3">
        <v>46245</v>
      </c>
      <c r="C588" s="2">
        <v>7</v>
      </c>
      <c r="D588" s="2">
        <v>1</v>
      </c>
      <c r="E588" s="2">
        <v>19</v>
      </c>
      <c r="F588" s="2">
        <v>1805</v>
      </c>
      <c r="G588" t="str">
        <f>_xlfn.XLOOKUP(C588,products!A:A,products!B:B)</f>
        <v>Peach</v>
      </c>
      <c r="H588" t="str">
        <f>_xlfn.XLOOKUP(D588,stores!A:A,stores!B:B)</f>
        <v>Bitola</v>
      </c>
      <c r="I588" t="str">
        <f t="shared" si="18"/>
        <v>NORMAL</v>
      </c>
      <c r="J588" s="4" t="str">
        <f t="shared" si="19"/>
        <v>8</v>
      </c>
    </row>
    <row r="589" spans="1:10">
      <c r="A589" s="2">
        <v>588</v>
      </c>
      <c r="B589" s="3">
        <v>46245</v>
      </c>
      <c r="C589" s="2">
        <v>7</v>
      </c>
      <c r="D589" s="2">
        <v>2</v>
      </c>
      <c r="E589" s="2">
        <v>41.4</v>
      </c>
      <c r="F589" s="2">
        <v>3933</v>
      </c>
      <c r="G589" t="str">
        <f>_xlfn.XLOOKUP(C589,products!A:A,products!B:B)</f>
        <v>Peach</v>
      </c>
      <c r="H589" t="str">
        <f>_xlfn.XLOOKUP(D589,stores!A:A,stores!B:B)</f>
        <v>Ohrid</v>
      </c>
      <c r="I589" t="str">
        <f t="shared" si="18"/>
        <v>NORMAL</v>
      </c>
      <c r="J589" s="4" t="str">
        <f t="shared" si="19"/>
        <v>8</v>
      </c>
    </row>
    <row r="590" spans="1:10">
      <c r="A590" s="2">
        <v>589</v>
      </c>
      <c r="B590" s="3">
        <v>46246</v>
      </c>
      <c r="C590" s="2">
        <v>1</v>
      </c>
      <c r="D590" s="2">
        <v>1</v>
      </c>
      <c r="E590" s="2">
        <v>19.3</v>
      </c>
      <c r="F590" s="2">
        <v>1158</v>
      </c>
      <c r="G590" t="str">
        <f>_xlfn.XLOOKUP(C590,products!A:A,products!B:B)</f>
        <v>Apple</v>
      </c>
      <c r="H590" t="str">
        <f>_xlfn.XLOOKUP(D590,stores!A:A,stores!B:B)</f>
        <v>Bitola</v>
      </c>
      <c r="I590" t="str">
        <f t="shared" si="18"/>
        <v>NORMAL</v>
      </c>
      <c r="J590" s="4" t="str">
        <f t="shared" si="19"/>
        <v>8</v>
      </c>
    </row>
    <row r="591" spans="1:10">
      <c r="A591" s="2">
        <v>590</v>
      </c>
      <c r="B591" s="3">
        <v>46246</v>
      </c>
      <c r="C591" s="2">
        <v>1</v>
      </c>
      <c r="D591" s="2">
        <v>2</v>
      </c>
      <c r="E591" s="2">
        <v>31</v>
      </c>
      <c r="F591" s="2">
        <v>1860</v>
      </c>
      <c r="G591" t="str">
        <f>_xlfn.XLOOKUP(C591,products!A:A,products!B:B)</f>
        <v>Apple</v>
      </c>
      <c r="H591" t="str">
        <f>_xlfn.XLOOKUP(D591,stores!A:A,stores!B:B)</f>
        <v>Ohrid</v>
      </c>
      <c r="I591" t="str">
        <f t="shared" si="18"/>
        <v>NORMAL</v>
      </c>
      <c r="J591" s="4" t="str">
        <f t="shared" si="19"/>
        <v>8</v>
      </c>
    </row>
    <row r="592" spans="1:10">
      <c r="A592" s="2">
        <v>591</v>
      </c>
      <c r="B592" s="3">
        <v>46246</v>
      </c>
      <c r="C592" s="2">
        <v>2</v>
      </c>
      <c r="D592" s="2">
        <v>1</v>
      </c>
      <c r="E592" s="2">
        <v>25.8</v>
      </c>
      <c r="F592" s="2">
        <v>2322</v>
      </c>
      <c r="G592" t="str">
        <f>_xlfn.XLOOKUP(C592,products!A:A,products!B:B)</f>
        <v>Banana</v>
      </c>
      <c r="H592" t="str">
        <f>_xlfn.XLOOKUP(D592,stores!A:A,stores!B:B)</f>
        <v>Bitola</v>
      </c>
      <c r="I592" t="str">
        <f t="shared" si="18"/>
        <v>NORMAL</v>
      </c>
      <c r="J592" s="4" t="str">
        <f t="shared" si="19"/>
        <v>8</v>
      </c>
    </row>
    <row r="593" spans="1:10">
      <c r="A593" s="2">
        <v>592</v>
      </c>
      <c r="B593" s="3">
        <v>46246</v>
      </c>
      <c r="C593" s="2">
        <v>2</v>
      </c>
      <c r="D593" s="2">
        <v>2</v>
      </c>
      <c r="E593" s="2">
        <v>32.3</v>
      </c>
      <c r="F593" s="2">
        <v>2907</v>
      </c>
      <c r="G593" t="str">
        <f>_xlfn.XLOOKUP(C593,products!A:A,products!B:B)</f>
        <v>Banana</v>
      </c>
      <c r="H593" t="str">
        <f>_xlfn.XLOOKUP(D593,stores!A:A,stores!B:B)</f>
        <v>Ohrid</v>
      </c>
      <c r="I593" t="str">
        <f t="shared" si="18"/>
        <v>NORMAL</v>
      </c>
      <c r="J593" s="4" t="str">
        <f t="shared" si="19"/>
        <v>8</v>
      </c>
    </row>
    <row r="594" spans="1:10">
      <c r="A594" s="2">
        <v>593</v>
      </c>
      <c r="B594" s="3">
        <v>46246</v>
      </c>
      <c r="C594" s="2">
        <v>3</v>
      </c>
      <c r="D594" s="2">
        <v>1</v>
      </c>
      <c r="E594" s="2">
        <v>9.8</v>
      </c>
      <c r="F594" s="2">
        <v>784</v>
      </c>
      <c r="G594" t="str">
        <f>_xlfn.XLOOKUP(C594,products!A:A,products!B:B)</f>
        <v>Orange</v>
      </c>
      <c r="H594" t="str">
        <f>_xlfn.XLOOKUP(D594,stores!A:A,stores!B:B)</f>
        <v>Bitola</v>
      </c>
      <c r="I594" t="str">
        <f t="shared" si="18"/>
        <v>NORMAL</v>
      </c>
      <c r="J594" s="4" t="str">
        <f t="shared" si="19"/>
        <v>8</v>
      </c>
    </row>
    <row r="595" spans="1:10">
      <c r="A595" s="2">
        <v>594</v>
      </c>
      <c r="B595" s="3">
        <v>46246</v>
      </c>
      <c r="C595" s="2">
        <v>3</v>
      </c>
      <c r="D595" s="2">
        <v>2</v>
      </c>
      <c r="E595" s="2">
        <v>18.2</v>
      </c>
      <c r="F595" s="2">
        <v>1456</v>
      </c>
      <c r="G595" t="str">
        <f>_xlfn.XLOOKUP(C595,products!A:A,products!B:B)</f>
        <v>Orange</v>
      </c>
      <c r="H595" t="str">
        <f>_xlfn.XLOOKUP(D595,stores!A:A,stores!B:B)</f>
        <v>Ohrid</v>
      </c>
      <c r="I595" t="str">
        <f t="shared" si="18"/>
        <v>NORMAL</v>
      </c>
      <c r="J595" s="4" t="str">
        <f t="shared" si="19"/>
        <v>8</v>
      </c>
    </row>
    <row r="596" spans="1:10">
      <c r="A596" s="2">
        <v>595</v>
      </c>
      <c r="B596" s="3">
        <v>46246</v>
      </c>
      <c r="C596" s="2">
        <v>4</v>
      </c>
      <c r="D596" s="2">
        <v>1</v>
      </c>
      <c r="E596" s="2">
        <v>62.3</v>
      </c>
      <c r="F596" s="2">
        <v>1558</v>
      </c>
      <c r="G596" t="str">
        <f>_xlfn.XLOOKUP(C596,products!A:A,products!B:B)</f>
        <v>Watermelon</v>
      </c>
      <c r="H596" t="str">
        <f>_xlfn.XLOOKUP(D596,stores!A:A,stores!B:B)</f>
        <v>Bitola</v>
      </c>
      <c r="I596" t="str">
        <f t="shared" si="18"/>
        <v>BIG</v>
      </c>
      <c r="J596" s="4" t="str">
        <f t="shared" si="19"/>
        <v>8</v>
      </c>
    </row>
    <row r="597" spans="1:10">
      <c r="A597" s="2">
        <v>596</v>
      </c>
      <c r="B597" s="3">
        <v>46246</v>
      </c>
      <c r="C597" s="2">
        <v>4</v>
      </c>
      <c r="D597" s="2">
        <v>2</v>
      </c>
      <c r="E597" s="2">
        <v>161.7</v>
      </c>
      <c r="F597" s="2">
        <v>4042</v>
      </c>
      <c r="G597" t="str">
        <f>_xlfn.XLOOKUP(C597,products!A:A,products!B:B)</f>
        <v>Watermelon</v>
      </c>
      <c r="H597" t="str">
        <f>_xlfn.XLOOKUP(D597,stores!A:A,stores!B:B)</f>
        <v>Ohrid</v>
      </c>
      <c r="I597" t="str">
        <f t="shared" si="18"/>
        <v>BIG</v>
      </c>
      <c r="J597" s="4" t="str">
        <f t="shared" si="19"/>
        <v>8</v>
      </c>
    </row>
    <row r="598" spans="1:10">
      <c r="A598" s="2">
        <v>597</v>
      </c>
      <c r="B598" s="3">
        <v>46246</v>
      </c>
      <c r="C598" s="2">
        <v>5</v>
      </c>
      <c r="D598" s="2">
        <v>1</v>
      </c>
      <c r="E598" s="2">
        <v>14.3</v>
      </c>
      <c r="F598" s="2">
        <v>1573</v>
      </c>
      <c r="G598" t="str">
        <f>_xlfn.XLOOKUP(C598,products!A:A,products!B:B)</f>
        <v>Grapes</v>
      </c>
      <c r="H598" t="str">
        <f>_xlfn.XLOOKUP(D598,stores!A:A,stores!B:B)</f>
        <v>Bitola</v>
      </c>
      <c r="I598" t="str">
        <f t="shared" si="18"/>
        <v>NORMAL</v>
      </c>
      <c r="J598" s="4" t="str">
        <f t="shared" si="19"/>
        <v>8</v>
      </c>
    </row>
    <row r="599" spans="1:10">
      <c r="A599" s="2">
        <v>598</v>
      </c>
      <c r="B599" s="3">
        <v>46246</v>
      </c>
      <c r="C599" s="2">
        <v>5</v>
      </c>
      <c r="D599" s="2">
        <v>2</v>
      </c>
      <c r="E599" s="2">
        <v>19.1</v>
      </c>
      <c r="F599" s="2">
        <v>2101</v>
      </c>
      <c r="G599" t="str">
        <f>_xlfn.XLOOKUP(C599,products!A:A,products!B:B)</f>
        <v>Grapes</v>
      </c>
      <c r="H599" t="str">
        <f>_xlfn.XLOOKUP(D599,stores!A:A,stores!B:B)</f>
        <v>Ohrid</v>
      </c>
      <c r="I599" t="str">
        <f t="shared" si="18"/>
        <v>NORMAL</v>
      </c>
      <c r="J599" s="4" t="str">
        <f t="shared" si="19"/>
        <v>8</v>
      </c>
    </row>
    <row r="600" spans="1:10">
      <c r="A600" s="2">
        <v>599</v>
      </c>
      <c r="B600" s="3">
        <v>46246</v>
      </c>
      <c r="C600" s="2">
        <v>6</v>
      </c>
      <c r="D600" s="2">
        <v>1</v>
      </c>
      <c r="E600" s="2">
        <v>5.9</v>
      </c>
      <c r="F600" s="2">
        <v>1298</v>
      </c>
      <c r="G600" t="str">
        <f>_xlfn.XLOOKUP(C600,products!A:A,products!B:B)</f>
        <v>Strawberry</v>
      </c>
      <c r="H600" t="str">
        <f>_xlfn.XLOOKUP(D600,stores!A:A,stores!B:B)</f>
        <v>Bitola</v>
      </c>
      <c r="I600" t="str">
        <f t="shared" si="18"/>
        <v>NORMAL</v>
      </c>
      <c r="J600" s="4" t="str">
        <f t="shared" si="19"/>
        <v>8</v>
      </c>
    </row>
    <row r="601" spans="1:10">
      <c r="A601" s="2">
        <v>600</v>
      </c>
      <c r="B601" s="3">
        <v>46246</v>
      </c>
      <c r="C601" s="2">
        <v>6</v>
      </c>
      <c r="D601" s="2">
        <v>2</v>
      </c>
      <c r="E601" s="2">
        <v>6.2</v>
      </c>
      <c r="F601" s="2">
        <v>1364</v>
      </c>
      <c r="G601" t="str">
        <f>_xlfn.XLOOKUP(C601,products!A:A,products!B:B)</f>
        <v>Strawberry</v>
      </c>
      <c r="H601" t="str">
        <f>_xlfn.XLOOKUP(D601,stores!A:A,stores!B:B)</f>
        <v>Ohrid</v>
      </c>
      <c r="I601" t="str">
        <f t="shared" si="18"/>
        <v>NORMAL</v>
      </c>
      <c r="J601" s="4" t="str">
        <f t="shared" si="19"/>
        <v>8</v>
      </c>
    </row>
    <row r="602" spans="1:10">
      <c r="A602" s="2">
        <v>601</v>
      </c>
      <c r="B602" s="3">
        <v>46246</v>
      </c>
      <c r="C602" s="2">
        <v>7</v>
      </c>
      <c r="D602" s="2">
        <v>1</v>
      </c>
      <c r="E602" s="2">
        <v>33.1</v>
      </c>
      <c r="F602" s="2">
        <v>3144</v>
      </c>
      <c r="G602" t="str">
        <f>_xlfn.XLOOKUP(C602,products!A:A,products!B:B)</f>
        <v>Peach</v>
      </c>
      <c r="H602" t="str">
        <f>_xlfn.XLOOKUP(D602,stores!A:A,stores!B:B)</f>
        <v>Bitola</v>
      </c>
      <c r="I602" t="str">
        <f t="shared" si="18"/>
        <v>NORMAL</v>
      </c>
      <c r="J602" s="4" t="str">
        <f t="shared" si="19"/>
        <v>8</v>
      </c>
    </row>
    <row r="603" spans="1:10">
      <c r="A603" s="2">
        <v>602</v>
      </c>
      <c r="B603" s="3">
        <v>46246</v>
      </c>
      <c r="C603" s="2">
        <v>7</v>
      </c>
      <c r="D603" s="2">
        <v>2</v>
      </c>
      <c r="E603" s="2">
        <v>45.4</v>
      </c>
      <c r="F603" s="2">
        <v>4313</v>
      </c>
      <c r="G603" t="str">
        <f>_xlfn.XLOOKUP(C603,products!A:A,products!B:B)</f>
        <v>Peach</v>
      </c>
      <c r="H603" t="str">
        <f>_xlfn.XLOOKUP(D603,stores!A:A,stores!B:B)</f>
        <v>Ohrid</v>
      </c>
      <c r="I603" t="str">
        <f t="shared" si="18"/>
        <v>NORMAL</v>
      </c>
      <c r="J603" s="4" t="str">
        <f t="shared" si="19"/>
        <v>8</v>
      </c>
    </row>
    <row r="604" spans="1:10">
      <c r="A604" s="2">
        <v>603</v>
      </c>
      <c r="B604" s="3">
        <v>46247</v>
      </c>
      <c r="C604" s="2">
        <v>1</v>
      </c>
      <c r="D604" s="2">
        <v>1</v>
      </c>
      <c r="E604" s="2">
        <v>13.3</v>
      </c>
      <c r="F604" s="2">
        <v>798</v>
      </c>
      <c r="G604" t="str">
        <f>_xlfn.XLOOKUP(C604,products!A:A,products!B:B)</f>
        <v>Apple</v>
      </c>
      <c r="H604" t="str">
        <f>_xlfn.XLOOKUP(D604,stores!A:A,stores!B:B)</f>
        <v>Bitola</v>
      </c>
      <c r="I604" t="str">
        <f t="shared" si="18"/>
        <v>NORMAL</v>
      </c>
      <c r="J604" s="4" t="str">
        <f t="shared" si="19"/>
        <v>8</v>
      </c>
    </row>
    <row r="605" spans="1:10">
      <c r="A605" s="2">
        <v>604</v>
      </c>
      <c r="B605" s="3">
        <v>46247</v>
      </c>
      <c r="C605" s="2">
        <v>1</v>
      </c>
      <c r="D605" s="2">
        <v>2</v>
      </c>
      <c r="E605" s="2">
        <v>30.7</v>
      </c>
      <c r="F605" s="2">
        <v>1842</v>
      </c>
      <c r="G605" t="str">
        <f>_xlfn.XLOOKUP(C605,products!A:A,products!B:B)</f>
        <v>Apple</v>
      </c>
      <c r="H605" t="str">
        <f>_xlfn.XLOOKUP(D605,stores!A:A,stores!B:B)</f>
        <v>Ohrid</v>
      </c>
      <c r="I605" t="str">
        <f t="shared" si="18"/>
        <v>NORMAL</v>
      </c>
      <c r="J605" s="4" t="str">
        <f t="shared" si="19"/>
        <v>8</v>
      </c>
    </row>
    <row r="606" spans="1:10">
      <c r="A606" s="2">
        <v>605</v>
      </c>
      <c r="B606" s="3">
        <v>46247</v>
      </c>
      <c r="C606" s="2">
        <v>2</v>
      </c>
      <c r="D606" s="2">
        <v>1</v>
      </c>
      <c r="E606" s="2">
        <v>21.5</v>
      </c>
      <c r="F606" s="2">
        <v>1935</v>
      </c>
      <c r="G606" t="str">
        <f>_xlfn.XLOOKUP(C606,products!A:A,products!B:B)</f>
        <v>Banana</v>
      </c>
      <c r="H606" t="str">
        <f>_xlfn.XLOOKUP(D606,stores!A:A,stores!B:B)</f>
        <v>Bitola</v>
      </c>
      <c r="I606" t="str">
        <f t="shared" si="18"/>
        <v>NORMAL</v>
      </c>
      <c r="J606" s="4" t="str">
        <f t="shared" si="19"/>
        <v>8</v>
      </c>
    </row>
    <row r="607" spans="1:10">
      <c r="A607" s="2">
        <v>606</v>
      </c>
      <c r="B607" s="3">
        <v>46247</v>
      </c>
      <c r="C607" s="2">
        <v>2</v>
      </c>
      <c r="D607" s="2">
        <v>2</v>
      </c>
      <c r="E607" s="2">
        <v>26.3</v>
      </c>
      <c r="F607" s="2">
        <v>2367</v>
      </c>
      <c r="G607" t="str">
        <f>_xlfn.XLOOKUP(C607,products!A:A,products!B:B)</f>
        <v>Banana</v>
      </c>
      <c r="H607" t="str">
        <f>_xlfn.XLOOKUP(D607,stores!A:A,stores!B:B)</f>
        <v>Ohrid</v>
      </c>
      <c r="I607" t="str">
        <f t="shared" si="18"/>
        <v>NORMAL</v>
      </c>
      <c r="J607" s="4" t="str">
        <f t="shared" si="19"/>
        <v>8</v>
      </c>
    </row>
    <row r="608" spans="1:10">
      <c r="A608" s="2">
        <v>607</v>
      </c>
      <c r="B608" s="3">
        <v>46247</v>
      </c>
      <c r="C608" s="2">
        <v>3</v>
      </c>
      <c r="D608" s="2">
        <v>1</v>
      </c>
      <c r="E608" s="2">
        <v>5.8</v>
      </c>
      <c r="F608" s="2">
        <v>464</v>
      </c>
      <c r="G608" t="str">
        <f>_xlfn.XLOOKUP(C608,products!A:A,products!B:B)</f>
        <v>Orange</v>
      </c>
      <c r="H608" t="str">
        <f>_xlfn.XLOOKUP(D608,stores!A:A,stores!B:B)</f>
        <v>Bitola</v>
      </c>
      <c r="I608" t="str">
        <f t="shared" si="18"/>
        <v>NORMAL</v>
      </c>
      <c r="J608" s="4" t="str">
        <f t="shared" si="19"/>
        <v>8</v>
      </c>
    </row>
    <row r="609" spans="1:10">
      <c r="A609" s="2">
        <v>608</v>
      </c>
      <c r="B609" s="3">
        <v>46247</v>
      </c>
      <c r="C609" s="2">
        <v>3</v>
      </c>
      <c r="D609" s="2">
        <v>2</v>
      </c>
      <c r="E609" s="2">
        <v>13.8</v>
      </c>
      <c r="F609" s="2">
        <v>1104</v>
      </c>
      <c r="G609" t="str">
        <f>_xlfn.XLOOKUP(C609,products!A:A,products!B:B)</f>
        <v>Orange</v>
      </c>
      <c r="H609" t="str">
        <f>_xlfn.XLOOKUP(D609,stores!A:A,stores!B:B)</f>
        <v>Ohrid</v>
      </c>
      <c r="I609" t="str">
        <f t="shared" si="18"/>
        <v>NORMAL</v>
      </c>
      <c r="J609" s="4" t="str">
        <f t="shared" si="19"/>
        <v>8</v>
      </c>
    </row>
    <row r="610" spans="1:10">
      <c r="A610" s="2">
        <v>609</v>
      </c>
      <c r="B610" s="3">
        <v>46247</v>
      </c>
      <c r="C610" s="2">
        <v>4</v>
      </c>
      <c r="D610" s="2">
        <v>1</v>
      </c>
      <c r="E610" s="2">
        <v>89.4</v>
      </c>
      <c r="F610" s="2">
        <v>2235</v>
      </c>
      <c r="G610" t="str">
        <f>_xlfn.XLOOKUP(C610,products!A:A,products!B:B)</f>
        <v>Watermelon</v>
      </c>
      <c r="H610" t="str">
        <f>_xlfn.XLOOKUP(D610,stores!A:A,stores!B:B)</f>
        <v>Bitola</v>
      </c>
      <c r="I610" t="str">
        <f t="shared" si="18"/>
        <v>BIG</v>
      </c>
      <c r="J610" s="4" t="str">
        <f t="shared" si="19"/>
        <v>8</v>
      </c>
    </row>
    <row r="611" spans="1:10">
      <c r="A611" s="2">
        <v>610</v>
      </c>
      <c r="B611" s="3">
        <v>46247</v>
      </c>
      <c r="C611" s="2">
        <v>4</v>
      </c>
      <c r="D611" s="2">
        <v>2</v>
      </c>
      <c r="E611" s="2">
        <v>129.4</v>
      </c>
      <c r="F611" s="2">
        <v>3235</v>
      </c>
      <c r="G611" t="str">
        <f>_xlfn.XLOOKUP(C611,products!A:A,products!B:B)</f>
        <v>Watermelon</v>
      </c>
      <c r="H611" t="str">
        <f>_xlfn.XLOOKUP(D611,stores!A:A,stores!B:B)</f>
        <v>Ohrid</v>
      </c>
      <c r="I611" t="str">
        <f t="shared" si="18"/>
        <v>BIG</v>
      </c>
      <c r="J611" s="4" t="str">
        <f t="shared" si="19"/>
        <v>8</v>
      </c>
    </row>
    <row r="612" spans="1:10">
      <c r="A612" s="2">
        <v>611</v>
      </c>
      <c r="B612" s="3">
        <v>46247</v>
      </c>
      <c r="C612" s="2">
        <v>5</v>
      </c>
      <c r="D612" s="2">
        <v>1</v>
      </c>
      <c r="E612" s="2">
        <v>14.1</v>
      </c>
      <c r="F612" s="2">
        <v>1551</v>
      </c>
      <c r="G612" t="str">
        <f>_xlfn.XLOOKUP(C612,products!A:A,products!B:B)</f>
        <v>Grapes</v>
      </c>
      <c r="H612" t="str">
        <f>_xlfn.XLOOKUP(D612,stores!A:A,stores!B:B)</f>
        <v>Bitola</v>
      </c>
      <c r="I612" t="str">
        <f t="shared" si="18"/>
        <v>NORMAL</v>
      </c>
      <c r="J612" s="4" t="str">
        <f t="shared" si="19"/>
        <v>8</v>
      </c>
    </row>
    <row r="613" spans="1:10">
      <c r="A613" s="2">
        <v>612</v>
      </c>
      <c r="B613" s="3">
        <v>46247</v>
      </c>
      <c r="C613" s="2">
        <v>5</v>
      </c>
      <c r="D613" s="2">
        <v>2</v>
      </c>
      <c r="E613" s="2">
        <v>18.9</v>
      </c>
      <c r="F613" s="2">
        <v>2079</v>
      </c>
      <c r="G613" t="str">
        <f>_xlfn.XLOOKUP(C613,products!A:A,products!B:B)</f>
        <v>Grapes</v>
      </c>
      <c r="H613" t="str">
        <f>_xlfn.XLOOKUP(D613,stores!A:A,stores!B:B)</f>
        <v>Ohrid</v>
      </c>
      <c r="I613" t="str">
        <f t="shared" si="18"/>
        <v>NORMAL</v>
      </c>
      <c r="J613" s="4" t="str">
        <f t="shared" si="19"/>
        <v>8</v>
      </c>
    </row>
    <row r="614" spans="1:10">
      <c r="A614" s="2">
        <v>613</v>
      </c>
      <c r="B614" s="3">
        <v>46247</v>
      </c>
      <c r="C614" s="2">
        <v>6</v>
      </c>
      <c r="D614" s="2">
        <v>1</v>
      </c>
      <c r="E614" s="2">
        <v>3.2</v>
      </c>
      <c r="F614" s="2">
        <v>704</v>
      </c>
      <c r="G614" t="str">
        <f>_xlfn.XLOOKUP(C614,products!A:A,products!B:B)</f>
        <v>Strawberry</v>
      </c>
      <c r="H614" t="str">
        <f>_xlfn.XLOOKUP(D614,stores!A:A,stores!B:B)</f>
        <v>Bitola</v>
      </c>
      <c r="I614" t="str">
        <f t="shared" si="18"/>
        <v>NORMAL</v>
      </c>
      <c r="J614" s="4" t="str">
        <f t="shared" si="19"/>
        <v>8</v>
      </c>
    </row>
    <row r="615" spans="1:10">
      <c r="A615" s="2">
        <v>614</v>
      </c>
      <c r="B615" s="3">
        <v>46247</v>
      </c>
      <c r="C615" s="2">
        <v>6</v>
      </c>
      <c r="D615" s="2">
        <v>2</v>
      </c>
      <c r="E615" s="2">
        <v>5.3</v>
      </c>
      <c r="F615" s="2">
        <v>1166</v>
      </c>
      <c r="G615" t="str">
        <f>_xlfn.XLOOKUP(C615,products!A:A,products!B:B)</f>
        <v>Strawberry</v>
      </c>
      <c r="H615" t="str">
        <f>_xlfn.XLOOKUP(D615,stores!A:A,stores!B:B)</f>
        <v>Ohrid</v>
      </c>
      <c r="I615" t="str">
        <f t="shared" si="18"/>
        <v>NORMAL</v>
      </c>
      <c r="J615" s="4" t="str">
        <f t="shared" si="19"/>
        <v>8</v>
      </c>
    </row>
    <row r="616" spans="1:10">
      <c r="A616" s="2">
        <v>615</v>
      </c>
      <c r="B616" s="3">
        <v>46247</v>
      </c>
      <c r="C616" s="2">
        <v>7</v>
      </c>
      <c r="D616" s="2">
        <v>1</v>
      </c>
      <c r="E616" s="2">
        <v>20.6</v>
      </c>
      <c r="F616" s="2">
        <v>1957</v>
      </c>
      <c r="G616" t="str">
        <f>_xlfn.XLOOKUP(C616,products!A:A,products!B:B)</f>
        <v>Peach</v>
      </c>
      <c r="H616" t="str">
        <f>_xlfn.XLOOKUP(D616,stores!A:A,stores!B:B)</f>
        <v>Bitola</v>
      </c>
      <c r="I616" t="str">
        <f t="shared" si="18"/>
        <v>NORMAL</v>
      </c>
      <c r="J616" s="4" t="str">
        <f t="shared" si="19"/>
        <v>8</v>
      </c>
    </row>
    <row r="617" spans="1:10">
      <c r="A617" s="2">
        <v>616</v>
      </c>
      <c r="B617" s="3">
        <v>46247</v>
      </c>
      <c r="C617" s="2">
        <v>7</v>
      </c>
      <c r="D617" s="2">
        <v>2</v>
      </c>
      <c r="E617" s="2">
        <v>37.4</v>
      </c>
      <c r="F617" s="2">
        <v>3553</v>
      </c>
      <c r="G617" t="str">
        <f>_xlfn.XLOOKUP(C617,products!A:A,products!B:B)</f>
        <v>Peach</v>
      </c>
      <c r="H617" t="str">
        <f>_xlfn.XLOOKUP(D617,stores!A:A,stores!B:B)</f>
        <v>Ohrid</v>
      </c>
      <c r="I617" t="str">
        <f t="shared" si="18"/>
        <v>NORMAL</v>
      </c>
      <c r="J617" s="4" t="str">
        <f t="shared" si="19"/>
        <v>8</v>
      </c>
    </row>
    <row r="618" spans="1:10">
      <c r="A618" s="2">
        <v>617</v>
      </c>
      <c r="B618" s="3">
        <v>46248</v>
      </c>
      <c r="C618" s="2">
        <v>1</v>
      </c>
      <c r="D618" s="2">
        <v>1</v>
      </c>
      <c r="E618" s="2">
        <v>19.9</v>
      </c>
      <c r="F618" s="2">
        <v>1194</v>
      </c>
      <c r="G618" t="str">
        <f>_xlfn.XLOOKUP(C618,products!A:A,products!B:B)</f>
        <v>Apple</v>
      </c>
      <c r="H618" t="str">
        <f>_xlfn.XLOOKUP(D618,stores!A:A,stores!B:B)</f>
        <v>Bitola</v>
      </c>
      <c r="I618" t="str">
        <f t="shared" si="18"/>
        <v>NORMAL</v>
      </c>
      <c r="J618" s="4" t="str">
        <f t="shared" si="19"/>
        <v>8</v>
      </c>
    </row>
    <row r="619" spans="1:10">
      <c r="A619" s="2">
        <v>618</v>
      </c>
      <c r="B619" s="3">
        <v>46248</v>
      </c>
      <c r="C619" s="2">
        <v>1</v>
      </c>
      <c r="D619" s="2">
        <v>2</v>
      </c>
      <c r="E619" s="2">
        <v>24.6</v>
      </c>
      <c r="F619" s="2">
        <v>1476</v>
      </c>
      <c r="G619" t="str">
        <f>_xlfn.XLOOKUP(C619,products!A:A,products!B:B)</f>
        <v>Apple</v>
      </c>
      <c r="H619" t="str">
        <f>_xlfn.XLOOKUP(D619,stores!A:A,stores!B:B)</f>
        <v>Ohrid</v>
      </c>
      <c r="I619" t="str">
        <f t="shared" si="18"/>
        <v>NORMAL</v>
      </c>
      <c r="J619" s="4" t="str">
        <f t="shared" si="19"/>
        <v>8</v>
      </c>
    </row>
    <row r="620" spans="1:10">
      <c r="A620" s="2">
        <v>619</v>
      </c>
      <c r="B620" s="3">
        <v>46248</v>
      </c>
      <c r="C620" s="2">
        <v>2</v>
      </c>
      <c r="D620" s="2">
        <v>1</v>
      </c>
      <c r="E620" s="2">
        <v>22.9</v>
      </c>
      <c r="F620" s="2">
        <v>2061</v>
      </c>
      <c r="G620" t="str">
        <f>_xlfn.XLOOKUP(C620,products!A:A,products!B:B)</f>
        <v>Banana</v>
      </c>
      <c r="H620" t="str">
        <f>_xlfn.XLOOKUP(D620,stores!A:A,stores!B:B)</f>
        <v>Bitola</v>
      </c>
      <c r="I620" t="str">
        <f t="shared" si="18"/>
        <v>NORMAL</v>
      </c>
      <c r="J620" s="4" t="str">
        <f t="shared" si="19"/>
        <v>8</v>
      </c>
    </row>
    <row r="621" spans="1:10">
      <c r="A621" s="2">
        <v>620</v>
      </c>
      <c r="B621" s="3">
        <v>46248</v>
      </c>
      <c r="C621" s="2">
        <v>2</v>
      </c>
      <c r="D621" s="2">
        <v>2</v>
      </c>
      <c r="E621" s="2">
        <v>30.5</v>
      </c>
      <c r="F621" s="2">
        <v>2745</v>
      </c>
      <c r="G621" t="str">
        <f>_xlfn.XLOOKUP(C621,products!A:A,products!B:B)</f>
        <v>Banana</v>
      </c>
      <c r="H621" t="str">
        <f>_xlfn.XLOOKUP(D621,stores!A:A,stores!B:B)</f>
        <v>Ohrid</v>
      </c>
      <c r="I621" t="str">
        <f t="shared" si="18"/>
        <v>NORMAL</v>
      </c>
      <c r="J621" s="4" t="str">
        <f t="shared" si="19"/>
        <v>8</v>
      </c>
    </row>
    <row r="622" spans="1:10">
      <c r="A622" s="2">
        <v>621</v>
      </c>
      <c r="B622" s="3">
        <v>46248</v>
      </c>
      <c r="C622" s="2">
        <v>3</v>
      </c>
      <c r="D622" s="2">
        <v>1</v>
      </c>
      <c r="E622" s="2">
        <v>9</v>
      </c>
      <c r="F622" s="2">
        <v>720</v>
      </c>
      <c r="G622" t="str">
        <f>_xlfn.XLOOKUP(C622,products!A:A,products!B:B)</f>
        <v>Orange</v>
      </c>
      <c r="H622" t="str">
        <f>_xlfn.XLOOKUP(D622,stores!A:A,stores!B:B)</f>
        <v>Bitola</v>
      </c>
      <c r="I622" t="str">
        <f t="shared" si="18"/>
        <v>NORMAL</v>
      </c>
      <c r="J622" s="4" t="str">
        <f t="shared" si="19"/>
        <v>8</v>
      </c>
    </row>
    <row r="623" spans="1:10">
      <c r="A623" s="2">
        <v>622</v>
      </c>
      <c r="B623" s="3">
        <v>46248</v>
      </c>
      <c r="C623" s="2">
        <v>3</v>
      </c>
      <c r="D623" s="2">
        <v>2</v>
      </c>
      <c r="E623" s="2">
        <v>14.9</v>
      </c>
      <c r="F623" s="2">
        <v>1192</v>
      </c>
      <c r="G623" t="str">
        <f>_xlfn.XLOOKUP(C623,products!A:A,products!B:B)</f>
        <v>Orange</v>
      </c>
      <c r="H623" t="str">
        <f>_xlfn.XLOOKUP(D623,stores!A:A,stores!B:B)</f>
        <v>Ohrid</v>
      </c>
      <c r="I623" t="str">
        <f t="shared" si="18"/>
        <v>NORMAL</v>
      </c>
      <c r="J623" s="4" t="str">
        <f t="shared" si="19"/>
        <v>8</v>
      </c>
    </row>
    <row r="624" spans="1:10">
      <c r="A624" s="2">
        <v>623</v>
      </c>
      <c r="B624" s="3">
        <v>46248</v>
      </c>
      <c r="C624" s="2">
        <v>4</v>
      </c>
      <c r="D624" s="2">
        <v>1</v>
      </c>
      <c r="E624" s="2">
        <v>82.9</v>
      </c>
      <c r="F624" s="2">
        <v>2072</v>
      </c>
      <c r="G624" t="str">
        <f>_xlfn.XLOOKUP(C624,products!A:A,products!B:B)</f>
        <v>Watermelon</v>
      </c>
      <c r="H624" t="str">
        <f>_xlfn.XLOOKUP(D624,stores!A:A,stores!B:B)</f>
        <v>Bitola</v>
      </c>
      <c r="I624" t="str">
        <f t="shared" si="18"/>
        <v>BIG</v>
      </c>
      <c r="J624" s="4" t="str">
        <f t="shared" si="19"/>
        <v>8</v>
      </c>
    </row>
    <row r="625" spans="1:10">
      <c r="A625" s="2">
        <v>624</v>
      </c>
      <c r="B625" s="3">
        <v>46248</v>
      </c>
      <c r="C625" s="2">
        <v>4</v>
      </c>
      <c r="D625" s="2">
        <v>2</v>
      </c>
      <c r="E625" s="2">
        <v>131.3</v>
      </c>
      <c r="F625" s="2">
        <v>3283</v>
      </c>
      <c r="G625" t="str">
        <f>_xlfn.XLOOKUP(C625,products!A:A,products!B:B)</f>
        <v>Watermelon</v>
      </c>
      <c r="H625" t="str">
        <f>_xlfn.XLOOKUP(D625,stores!A:A,stores!B:B)</f>
        <v>Ohrid</v>
      </c>
      <c r="I625" t="str">
        <f t="shared" si="18"/>
        <v>BIG</v>
      </c>
      <c r="J625" s="4" t="str">
        <f t="shared" si="19"/>
        <v>8</v>
      </c>
    </row>
    <row r="626" spans="1:10">
      <c r="A626" s="2">
        <v>625</v>
      </c>
      <c r="B626" s="3">
        <v>46248</v>
      </c>
      <c r="C626" s="2">
        <v>5</v>
      </c>
      <c r="D626" s="2">
        <v>1</v>
      </c>
      <c r="E626" s="2">
        <v>10</v>
      </c>
      <c r="F626" s="2">
        <v>1100</v>
      </c>
      <c r="G626" t="str">
        <f>_xlfn.XLOOKUP(C626,products!A:A,products!B:B)</f>
        <v>Grapes</v>
      </c>
      <c r="H626" t="str">
        <f>_xlfn.XLOOKUP(D626,stores!A:A,stores!B:B)</f>
        <v>Bitola</v>
      </c>
      <c r="I626" t="str">
        <f t="shared" si="18"/>
        <v>NORMAL</v>
      </c>
      <c r="J626" s="4" t="str">
        <f t="shared" si="19"/>
        <v>8</v>
      </c>
    </row>
    <row r="627" spans="1:10">
      <c r="A627" s="2">
        <v>626</v>
      </c>
      <c r="B627" s="3">
        <v>46248</v>
      </c>
      <c r="C627" s="2">
        <v>5</v>
      </c>
      <c r="D627" s="2">
        <v>2</v>
      </c>
      <c r="E627" s="2">
        <v>20.8</v>
      </c>
      <c r="F627" s="2">
        <v>2288</v>
      </c>
      <c r="G627" t="str">
        <f>_xlfn.XLOOKUP(C627,products!A:A,products!B:B)</f>
        <v>Grapes</v>
      </c>
      <c r="H627" t="str">
        <f>_xlfn.XLOOKUP(D627,stores!A:A,stores!B:B)</f>
        <v>Ohrid</v>
      </c>
      <c r="I627" t="str">
        <f t="shared" si="18"/>
        <v>NORMAL</v>
      </c>
      <c r="J627" s="4" t="str">
        <f t="shared" si="19"/>
        <v>8</v>
      </c>
    </row>
    <row r="628" spans="1:10">
      <c r="A628" s="2">
        <v>627</v>
      </c>
      <c r="B628" s="3">
        <v>46248</v>
      </c>
      <c r="C628" s="2">
        <v>6</v>
      </c>
      <c r="D628" s="2">
        <v>1</v>
      </c>
      <c r="E628" s="2">
        <v>4.2</v>
      </c>
      <c r="F628" s="2">
        <v>924</v>
      </c>
      <c r="G628" t="str">
        <f>_xlfn.XLOOKUP(C628,products!A:A,products!B:B)</f>
        <v>Strawberry</v>
      </c>
      <c r="H628" t="str">
        <f>_xlfn.XLOOKUP(D628,stores!A:A,stores!B:B)</f>
        <v>Bitola</v>
      </c>
      <c r="I628" t="str">
        <f t="shared" si="18"/>
        <v>NORMAL</v>
      </c>
      <c r="J628" s="4" t="str">
        <f t="shared" si="19"/>
        <v>8</v>
      </c>
    </row>
    <row r="629" spans="1:10">
      <c r="A629" s="2">
        <v>628</v>
      </c>
      <c r="B629" s="3">
        <v>46248</v>
      </c>
      <c r="C629" s="2">
        <v>6</v>
      </c>
      <c r="D629" s="2">
        <v>2</v>
      </c>
      <c r="E629" s="2">
        <v>6.8</v>
      </c>
      <c r="F629" s="2">
        <v>1496</v>
      </c>
      <c r="G629" t="str">
        <f>_xlfn.XLOOKUP(C629,products!A:A,products!B:B)</f>
        <v>Strawberry</v>
      </c>
      <c r="H629" t="str">
        <f>_xlfn.XLOOKUP(D629,stores!A:A,stores!B:B)</f>
        <v>Ohrid</v>
      </c>
      <c r="I629" t="str">
        <f t="shared" si="18"/>
        <v>NORMAL</v>
      </c>
      <c r="J629" s="4" t="str">
        <f t="shared" si="19"/>
        <v>8</v>
      </c>
    </row>
    <row r="630" spans="1:10">
      <c r="A630" s="2">
        <v>629</v>
      </c>
      <c r="B630" s="3">
        <v>46248</v>
      </c>
      <c r="C630" s="2">
        <v>7</v>
      </c>
      <c r="D630" s="2">
        <v>1</v>
      </c>
      <c r="E630" s="2">
        <v>17.7</v>
      </c>
      <c r="F630" s="2">
        <v>1682</v>
      </c>
      <c r="G630" t="str">
        <f>_xlfn.XLOOKUP(C630,products!A:A,products!B:B)</f>
        <v>Peach</v>
      </c>
      <c r="H630" t="str">
        <f>_xlfn.XLOOKUP(D630,stores!A:A,stores!B:B)</f>
        <v>Bitola</v>
      </c>
      <c r="I630" t="str">
        <f t="shared" si="18"/>
        <v>NORMAL</v>
      </c>
      <c r="J630" s="4" t="str">
        <f t="shared" si="19"/>
        <v>8</v>
      </c>
    </row>
    <row r="631" spans="1:10">
      <c r="A631" s="2">
        <v>630</v>
      </c>
      <c r="B631" s="3">
        <v>46248</v>
      </c>
      <c r="C631" s="2">
        <v>7</v>
      </c>
      <c r="D631" s="2">
        <v>2</v>
      </c>
      <c r="E631" s="2">
        <v>40.2</v>
      </c>
      <c r="F631" s="2">
        <v>3819</v>
      </c>
      <c r="G631" t="str">
        <f>_xlfn.XLOOKUP(C631,products!A:A,products!B:B)</f>
        <v>Peach</v>
      </c>
      <c r="H631" t="str">
        <f>_xlfn.XLOOKUP(D631,stores!A:A,stores!B:B)</f>
        <v>Ohrid</v>
      </c>
      <c r="I631" t="str">
        <f t="shared" si="18"/>
        <v>NORMAL</v>
      </c>
      <c r="J631" s="4" t="str">
        <f t="shared" si="19"/>
        <v>8</v>
      </c>
    </row>
    <row r="632" spans="1:10">
      <c r="A632" s="2">
        <v>631</v>
      </c>
      <c r="B632" s="3">
        <v>46249</v>
      </c>
      <c r="C632" s="2">
        <v>1</v>
      </c>
      <c r="D632" s="2">
        <v>1</v>
      </c>
      <c r="E632" s="2">
        <v>31</v>
      </c>
      <c r="F632" s="2">
        <v>1860</v>
      </c>
      <c r="G632" t="str">
        <f>_xlfn.XLOOKUP(C632,products!A:A,products!B:B)</f>
        <v>Apple</v>
      </c>
      <c r="H632" t="str">
        <f>_xlfn.XLOOKUP(D632,stores!A:A,stores!B:B)</f>
        <v>Bitola</v>
      </c>
      <c r="I632" t="str">
        <f t="shared" si="18"/>
        <v>NORMAL</v>
      </c>
      <c r="J632" s="4" t="str">
        <f t="shared" si="19"/>
        <v>8</v>
      </c>
    </row>
    <row r="633" spans="1:10">
      <c r="A633" s="2">
        <v>632</v>
      </c>
      <c r="B633" s="3">
        <v>46249</v>
      </c>
      <c r="C633" s="2">
        <v>1</v>
      </c>
      <c r="D633" s="2">
        <v>2</v>
      </c>
      <c r="E633" s="2">
        <v>36.2</v>
      </c>
      <c r="F633" s="2">
        <v>2172</v>
      </c>
      <c r="G633" t="str">
        <f>_xlfn.XLOOKUP(C633,products!A:A,products!B:B)</f>
        <v>Apple</v>
      </c>
      <c r="H633" t="str">
        <f>_xlfn.XLOOKUP(D633,stores!A:A,stores!B:B)</f>
        <v>Ohrid</v>
      </c>
      <c r="I633" t="str">
        <f t="shared" si="18"/>
        <v>NORMAL</v>
      </c>
      <c r="J633" s="4" t="str">
        <f t="shared" si="19"/>
        <v>8</v>
      </c>
    </row>
    <row r="634" spans="1:10">
      <c r="A634" s="2">
        <v>633</v>
      </c>
      <c r="B634" s="3">
        <v>46249</v>
      </c>
      <c r="C634" s="2">
        <v>2</v>
      </c>
      <c r="D634" s="2">
        <v>1</v>
      </c>
      <c r="E634" s="2">
        <v>29.4</v>
      </c>
      <c r="F634" s="2">
        <v>2646</v>
      </c>
      <c r="G634" t="str">
        <f>_xlfn.XLOOKUP(C634,products!A:A,products!B:B)</f>
        <v>Banana</v>
      </c>
      <c r="H634" t="str">
        <f>_xlfn.XLOOKUP(D634,stores!A:A,stores!B:B)</f>
        <v>Bitola</v>
      </c>
      <c r="I634" t="str">
        <f t="shared" si="18"/>
        <v>NORMAL</v>
      </c>
      <c r="J634" s="4" t="str">
        <f t="shared" si="19"/>
        <v>8</v>
      </c>
    </row>
    <row r="635" spans="1:10">
      <c r="A635" s="2">
        <v>634</v>
      </c>
      <c r="B635" s="3">
        <v>46249</v>
      </c>
      <c r="C635" s="2">
        <v>2</v>
      </c>
      <c r="D635" s="2">
        <v>2</v>
      </c>
      <c r="E635" s="2">
        <v>49.1</v>
      </c>
      <c r="F635" s="2">
        <v>4419</v>
      </c>
      <c r="G635" t="str">
        <f>_xlfn.XLOOKUP(C635,products!A:A,products!B:B)</f>
        <v>Banana</v>
      </c>
      <c r="H635" t="str">
        <f>_xlfn.XLOOKUP(D635,stores!A:A,stores!B:B)</f>
        <v>Ohrid</v>
      </c>
      <c r="I635" t="str">
        <f t="shared" si="18"/>
        <v>NORMAL</v>
      </c>
      <c r="J635" s="4" t="str">
        <f t="shared" si="19"/>
        <v>8</v>
      </c>
    </row>
    <row r="636" spans="1:10">
      <c r="A636" s="2">
        <v>635</v>
      </c>
      <c r="B636" s="3">
        <v>46249</v>
      </c>
      <c r="C636" s="2">
        <v>3</v>
      </c>
      <c r="D636" s="2">
        <v>1</v>
      </c>
      <c r="E636" s="2">
        <v>11.8</v>
      </c>
      <c r="F636" s="2">
        <v>944</v>
      </c>
      <c r="G636" t="str">
        <f>_xlfn.XLOOKUP(C636,products!A:A,products!B:B)</f>
        <v>Orange</v>
      </c>
      <c r="H636" t="str">
        <f>_xlfn.XLOOKUP(D636,stores!A:A,stores!B:B)</f>
        <v>Bitola</v>
      </c>
      <c r="I636" t="str">
        <f t="shared" si="18"/>
        <v>NORMAL</v>
      </c>
      <c r="J636" s="4" t="str">
        <f t="shared" si="19"/>
        <v>8</v>
      </c>
    </row>
    <row r="637" spans="1:10">
      <c r="A637" s="2">
        <v>636</v>
      </c>
      <c r="B637" s="3">
        <v>46249</v>
      </c>
      <c r="C637" s="2">
        <v>3</v>
      </c>
      <c r="D637" s="2">
        <v>2</v>
      </c>
      <c r="E637" s="2">
        <v>19.2</v>
      </c>
      <c r="F637" s="2">
        <v>1536</v>
      </c>
      <c r="G637" t="str">
        <f>_xlfn.XLOOKUP(C637,products!A:A,products!B:B)</f>
        <v>Orange</v>
      </c>
      <c r="H637" t="str">
        <f>_xlfn.XLOOKUP(D637,stores!A:A,stores!B:B)</f>
        <v>Ohrid</v>
      </c>
      <c r="I637" t="str">
        <f t="shared" si="18"/>
        <v>NORMAL</v>
      </c>
      <c r="J637" s="4" t="str">
        <f t="shared" si="19"/>
        <v>8</v>
      </c>
    </row>
    <row r="638" spans="1:10">
      <c r="A638" s="2">
        <v>637</v>
      </c>
      <c r="B638" s="3">
        <v>46249</v>
      </c>
      <c r="C638" s="2">
        <v>4</v>
      </c>
      <c r="D638" s="2">
        <v>1</v>
      </c>
      <c r="E638" s="2">
        <v>101.4</v>
      </c>
      <c r="F638" s="2">
        <v>2535</v>
      </c>
      <c r="G638" t="str">
        <f>_xlfn.XLOOKUP(C638,products!A:A,products!B:B)</f>
        <v>Watermelon</v>
      </c>
      <c r="H638" t="str">
        <f>_xlfn.XLOOKUP(D638,stores!A:A,stores!B:B)</f>
        <v>Bitola</v>
      </c>
      <c r="I638" t="str">
        <f t="shared" si="18"/>
        <v>BIG</v>
      </c>
      <c r="J638" s="4" t="str">
        <f t="shared" si="19"/>
        <v>8</v>
      </c>
    </row>
    <row r="639" spans="1:10">
      <c r="A639" s="2">
        <v>638</v>
      </c>
      <c r="B639" s="3">
        <v>46249</v>
      </c>
      <c r="C639" s="2">
        <v>4</v>
      </c>
      <c r="D639" s="2">
        <v>2</v>
      </c>
      <c r="E639" s="2">
        <v>154.6</v>
      </c>
      <c r="F639" s="2">
        <v>3865</v>
      </c>
      <c r="G639" t="str">
        <f>_xlfn.XLOOKUP(C639,products!A:A,products!B:B)</f>
        <v>Watermelon</v>
      </c>
      <c r="H639" t="str">
        <f>_xlfn.XLOOKUP(D639,stores!A:A,stores!B:B)</f>
        <v>Ohrid</v>
      </c>
      <c r="I639" t="str">
        <f t="shared" si="18"/>
        <v>BIG</v>
      </c>
      <c r="J639" s="4" t="str">
        <f t="shared" si="19"/>
        <v>8</v>
      </c>
    </row>
    <row r="640" spans="1:10">
      <c r="A640" s="2">
        <v>639</v>
      </c>
      <c r="B640" s="3">
        <v>46249</v>
      </c>
      <c r="C640" s="2">
        <v>5</v>
      </c>
      <c r="D640" s="2">
        <v>1</v>
      </c>
      <c r="E640" s="2">
        <v>15.8</v>
      </c>
      <c r="F640" s="2">
        <v>1738</v>
      </c>
      <c r="G640" t="str">
        <f>_xlfn.XLOOKUP(C640,products!A:A,products!B:B)</f>
        <v>Grapes</v>
      </c>
      <c r="H640" t="str">
        <f>_xlfn.XLOOKUP(D640,stores!A:A,stores!B:B)</f>
        <v>Bitola</v>
      </c>
      <c r="I640" t="str">
        <f t="shared" si="18"/>
        <v>NORMAL</v>
      </c>
      <c r="J640" s="4" t="str">
        <f t="shared" si="19"/>
        <v>8</v>
      </c>
    </row>
    <row r="641" spans="1:10">
      <c r="A641" s="2">
        <v>640</v>
      </c>
      <c r="B641" s="3">
        <v>46249</v>
      </c>
      <c r="C641" s="2">
        <v>5</v>
      </c>
      <c r="D641" s="2">
        <v>2</v>
      </c>
      <c r="E641" s="2">
        <v>27.2</v>
      </c>
      <c r="F641" s="2">
        <v>2992</v>
      </c>
      <c r="G641" t="str">
        <f>_xlfn.XLOOKUP(C641,products!A:A,products!B:B)</f>
        <v>Grapes</v>
      </c>
      <c r="H641" t="str">
        <f>_xlfn.XLOOKUP(D641,stores!A:A,stores!B:B)</f>
        <v>Ohrid</v>
      </c>
      <c r="I641" t="str">
        <f t="shared" si="18"/>
        <v>NORMAL</v>
      </c>
      <c r="J641" s="4" t="str">
        <f t="shared" si="19"/>
        <v>8</v>
      </c>
    </row>
    <row r="642" spans="1:10">
      <c r="A642" s="2">
        <v>641</v>
      </c>
      <c r="B642" s="3">
        <v>46249</v>
      </c>
      <c r="C642" s="2">
        <v>6</v>
      </c>
      <c r="D642" s="2">
        <v>1</v>
      </c>
      <c r="E642" s="2">
        <v>6.3</v>
      </c>
      <c r="F642" s="2">
        <v>1386</v>
      </c>
      <c r="G642" t="str">
        <f>_xlfn.XLOOKUP(C642,products!A:A,products!B:B)</f>
        <v>Strawberry</v>
      </c>
      <c r="H642" t="str">
        <f>_xlfn.XLOOKUP(D642,stores!A:A,stores!B:B)</f>
        <v>Bitola</v>
      </c>
      <c r="I642" t="str">
        <f t="shared" ref="I642:I705" si="20">IF(E642&gt;50,"BIG","NORMAL")</f>
        <v>NORMAL</v>
      </c>
      <c r="J642" s="4" t="str">
        <f t="shared" ref="J642:J705" si="21">TEXT(B642,"m")</f>
        <v>8</v>
      </c>
    </row>
    <row r="643" spans="1:10">
      <c r="A643" s="2">
        <v>642</v>
      </c>
      <c r="B643" s="3">
        <v>46249</v>
      </c>
      <c r="C643" s="2">
        <v>6</v>
      </c>
      <c r="D643" s="2">
        <v>2</v>
      </c>
      <c r="E643" s="2">
        <v>7.2</v>
      </c>
      <c r="F643" s="2">
        <v>1584</v>
      </c>
      <c r="G643" t="str">
        <f>_xlfn.XLOOKUP(C643,products!A:A,products!B:B)</f>
        <v>Strawberry</v>
      </c>
      <c r="H643" t="str">
        <f>_xlfn.XLOOKUP(D643,stores!A:A,stores!B:B)</f>
        <v>Ohrid</v>
      </c>
      <c r="I643" t="str">
        <f t="shared" si="20"/>
        <v>NORMAL</v>
      </c>
      <c r="J643" s="4" t="str">
        <f t="shared" si="21"/>
        <v>8</v>
      </c>
    </row>
    <row r="644" spans="1:10">
      <c r="A644" s="2">
        <v>643</v>
      </c>
      <c r="B644" s="3">
        <v>46249</v>
      </c>
      <c r="C644" s="2">
        <v>7</v>
      </c>
      <c r="D644" s="2">
        <v>1</v>
      </c>
      <c r="E644" s="2">
        <v>31.4</v>
      </c>
      <c r="F644" s="2">
        <v>2983</v>
      </c>
      <c r="G644" t="str">
        <f>_xlfn.XLOOKUP(C644,products!A:A,products!B:B)</f>
        <v>Peach</v>
      </c>
      <c r="H644" t="str">
        <f>_xlfn.XLOOKUP(D644,stores!A:A,stores!B:B)</f>
        <v>Bitola</v>
      </c>
      <c r="I644" t="str">
        <f t="shared" si="20"/>
        <v>NORMAL</v>
      </c>
      <c r="J644" s="4" t="str">
        <f t="shared" si="21"/>
        <v>8</v>
      </c>
    </row>
    <row r="645" spans="1:10">
      <c r="A645" s="2">
        <v>644</v>
      </c>
      <c r="B645" s="3">
        <v>46249</v>
      </c>
      <c r="C645" s="2">
        <v>7</v>
      </c>
      <c r="D645" s="2">
        <v>2</v>
      </c>
      <c r="E645" s="2">
        <v>44</v>
      </c>
      <c r="F645" s="2">
        <v>4180</v>
      </c>
      <c r="G645" t="str">
        <f>_xlfn.XLOOKUP(C645,products!A:A,products!B:B)</f>
        <v>Peach</v>
      </c>
      <c r="H645" t="str">
        <f>_xlfn.XLOOKUP(D645,stores!A:A,stores!B:B)</f>
        <v>Ohrid</v>
      </c>
      <c r="I645" t="str">
        <f t="shared" si="20"/>
        <v>NORMAL</v>
      </c>
      <c r="J645" s="4" t="str">
        <f t="shared" si="21"/>
        <v>8</v>
      </c>
    </row>
    <row r="646" spans="1:10">
      <c r="A646" s="2">
        <v>645</v>
      </c>
      <c r="B646" s="3">
        <v>46250</v>
      </c>
      <c r="C646" s="2">
        <v>1</v>
      </c>
      <c r="D646" s="2">
        <v>1</v>
      </c>
      <c r="E646" s="2">
        <v>28.9</v>
      </c>
      <c r="F646" s="2">
        <v>1734</v>
      </c>
      <c r="G646" t="str">
        <f>_xlfn.XLOOKUP(C646,products!A:A,products!B:B)</f>
        <v>Apple</v>
      </c>
      <c r="H646" t="str">
        <f>_xlfn.XLOOKUP(D646,stores!A:A,stores!B:B)</f>
        <v>Bitola</v>
      </c>
      <c r="I646" t="str">
        <f t="shared" si="20"/>
        <v>NORMAL</v>
      </c>
      <c r="J646" s="4" t="str">
        <f t="shared" si="21"/>
        <v>8</v>
      </c>
    </row>
    <row r="647" spans="1:10">
      <c r="A647" s="2">
        <v>646</v>
      </c>
      <c r="B647" s="3">
        <v>46250</v>
      </c>
      <c r="C647" s="2">
        <v>1</v>
      </c>
      <c r="D647" s="2">
        <v>2</v>
      </c>
      <c r="E647" s="2">
        <v>31.1</v>
      </c>
      <c r="F647" s="2">
        <v>1866</v>
      </c>
      <c r="G647" t="str">
        <f>_xlfn.XLOOKUP(C647,products!A:A,products!B:B)</f>
        <v>Apple</v>
      </c>
      <c r="H647" t="str">
        <f>_xlfn.XLOOKUP(D647,stores!A:A,stores!B:B)</f>
        <v>Ohrid</v>
      </c>
      <c r="I647" t="str">
        <f t="shared" si="20"/>
        <v>NORMAL</v>
      </c>
      <c r="J647" s="4" t="str">
        <f t="shared" si="21"/>
        <v>8</v>
      </c>
    </row>
    <row r="648" spans="1:10">
      <c r="A648" s="2">
        <v>647</v>
      </c>
      <c r="B648" s="3">
        <v>46250</v>
      </c>
      <c r="C648" s="2">
        <v>2</v>
      </c>
      <c r="D648" s="2">
        <v>1</v>
      </c>
      <c r="E648" s="2">
        <v>35.5</v>
      </c>
      <c r="F648" s="2">
        <v>3195</v>
      </c>
      <c r="G648" t="str">
        <f>_xlfn.XLOOKUP(C648,products!A:A,products!B:B)</f>
        <v>Banana</v>
      </c>
      <c r="H648" t="str">
        <f>_xlfn.XLOOKUP(D648,stores!A:A,stores!B:B)</f>
        <v>Bitola</v>
      </c>
      <c r="I648" t="str">
        <f t="shared" si="20"/>
        <v>NORMAL</v>
      </c>
      <c r="J648" s="4" t="str">
        <f t="shared" si="21"/>
        <v>8</v>
      </c>
    </row>
    <row r="649" spans="1:10">
      <c r="A649" s="2">
        <v>648</v>
      </c>
      <c r="B649" s="3">
        <v>46250</v>
      </c>
      <c r="C649" s="2">
        <v>2</v>
      </c>
      <c r="D649" s="2">
        <v>2</v>
      </c>
      <c r="E649" s="2">
        <v>36.6</v>
      </c>
      <c r="F649" s="2">
        <v>3294</v>
      </c>
      <c r="G649" t="str">
        <f>_xlfn.XLOOKUP(C649,products!A:A,products!B:B)</f>
        <v>Banana</v>
      </c>
      <c r="H649" t="str">
        <f>_xlfn.XLOOKUP(D649,stores!A:A,stores!B:B)</f>
        <v>Ohrid</v>
      </c>
      <c r="I649" t="str">
        <f t="shared" si="20"/>
        <v>NORMAL</v>
      </c>
      <c r="J649" s="4" t="str">
        <f t="shared" si="21"/>
        <v>8</v>
      </c>
    </row>
    <row r="650" spans="1:10">
      <c r="A650" s="2">
        <v>649</v>
      </c>
      <c r="B650" s="3">
        <v>46250</v>
      </c>
      <c r="C650" s="2">
        <v>3</v>
      </c>
      <c r="D650" s="2">
        <v>1</v>
      </c>
      <c r="E650" s="2">
        <v>8.9</v>
      </c>
      <c r="F650" s="2">
        <v>712</v>
      </c>
      <c r="G650" t="str">
        <f>_xlfn.XLOOKUP(C650,products!A:A,products!B:B)</f>
        <v>Orange</v>
      </c>
      <c r="H650" t="str">
        <f>_xlfn.XLOOKUP(D650,stores!A:A,stores!B:B)</f>
        <v>Bitola</v>
      </c>
      <c r="I650" t="str">
        <f t="shared" si="20"/>
        <v>NORMAL</v>
      </c>
      <c r="J650" s="4" t="str">
        <f t="shared" si="21"/>
        <v>8</v>
      </c>
    </row>
    <row r="651" spans="1:10">
      <c r="A651" s="2">
        <v>650</v>
      </c>
      <c r="B651" s="3">
        <v>46250</v>
      </c>
      <c r="C651" s="2">
        <v>3</v>
      </c>
      <c r="D651" s="2">
        <v>2</v>
      </c>
      <c r="E651" s="2">
        <v>17.6</v>
      </c>
      <c r="F651" s="2">
        <v>1408</v>
      </c>
      <c r="G651" t="str">
        <f>_xlfn.XLOOKUP(C651,products!A:A,products!B:B)</f>
        <v>Orange</v>
      </c>
      <c r="H651" t="str">
        <f>_xlfn.XLOOKUP(D651,stores!A:A,stores!B:B)</f>
        <v>Ohrid</v>
      </c>
      <c r="I651" t="str">
        <f t="shared" si="20"/>
        <v>NORMAL</v>
      </c>
      <c r="J651" s="4" t="str">
        <f t="shared" si="21"/>
        <v>8</v>
      </c>
    </row>
    <row r="652" spans="1:10">
      <c r="A652" s="2">
        <v>651</v>
      </c>
      <c r="B652" s="3">
        <v>46250</v>
      </c>
      <c r="C652" s="2">
        <v>4</v>
      </c>
      <c r="D652" s="2">
        <v>1</v>
      </c>
      <c r="E652" s="2">
        <v>102.6</v>
      </c>
      <c r="F652" s="2">
        <v>2565</v>
      </c>
      <c r="G652" t="str">
        <f>_xlfn.XLOOKUP(C652,products!A:A,products!B:B)</f>
        <v>Watermelon</v>
      </c>
      <c r="H652" t="str">
        <f>_xlfn.XLOOKUP(D652,stores!A:A,stores!B:B)</f>
        <v>Bitola</v>
      </c>
      <c r="I652" t="str">
        <f t="shared" si="20"/>
        <v>BIG</v>
      </c>
      <c r="J652" s="4" t="str">
        <f t="shared" si="21"/>
        <v>8</v>
      </c>
    </row>
    <row r="653" spans="1:10">
      <c r="A653" s="2">
        <v>652</v>
      </c>
      <c r="B653" s="3">
        <v>46250</v>
      </c>
      <c r="C653" s="2">
        <v>4</v>
      </c>
      <c r="D653" s="2">
        <v>2</v>
      </c>
      <c r="E653" s="2">
        <v>158.9</v>
      </c>
      <c r="F653" s="2">
        <v>3972</v>
      </c>
      <c r="G653" t="str">
        <f>_xlfn.XLOOKUP(C653,products!A:A,products!B:B)</f>
        <v>Watermelon</v>
      </c>
      <c r="H653" t="str">
        <f>_xlfn.XLOOKUP(D653,stores!A:A,stores!B:B)</f>
        <v>Ohrid</v>
      </c>
      <c r="I653" t="str">
        <f t="shared" si="20"/>
        <v>BIG</v>
      </c>
      <c r="J653" s="4" t="str">
        <f t="shared" si="21"/>
        <v>8</v>
      </c>
    </row>
    <row r="654" spans="1:10">
      <c r="A654" s="2">
        <v>653</v>
      </c>
      <c r="B654" s="3">
        <v>46250</v>
      </c>
      <c r="C654" s="2">
        <v>5</v>
      </c>
      <c r="D654" s="2">
        <v>1</v>
      </c>
      <c r="E654" s="2">
        <v>22.7</v>
      </c>
      <c r="F654" s="2">
        <v>2497</v>
      </c>
      <c r="G654" t="str">
        <f>_xlfn.XLOOKUP(C654,products!A:A,products!B:B)</f>
        <v>Grapes</v>
      </c>
      <c r="H654" t="str">
        <f>_xlfn.XLOOKUP(D654,stores!A:A,stores!B:B)</f>
        <v>Bitola</v>
      </c>
      <c r="I654" t="str">
        <f t="shared" si="20"/>
        <v>NORMAL</v>
      </c>
      <c r="J654" s="4" t="str">
        <f t="shared" si="21"/>
        <v>8</v>
      </c>
    </row>
    <row r="655" spans="1:10">
      <c r="A655" s="2">
        <v>654</v>
      </c>
      <c r="B655" s="3">
        <v>46250</v>
      </c>
      <c r="C655" s="2">
        <v>5</v>
      </c>
      <c r="D655" s="2">
        <v>2</v>
      </c>
      <c r="E655" s="2">
        <v>25.8</v>
      </c>
      <c r="F655" s="2">
        <v>2838</v>
      </c>
      <c r="G655" t="str">
        <f>_xlfn.XLOOKUP(C655,products!A:A,products!B:B)</f>
        <v>Grapes</v>
      </c>
      <c r="H655" t="str">
        <f>_xlfn.XLOOKUP(D655,stores!A:A,stores!B:B)</f>
        <v>Ohrid</v>
      </c>
      <c r="I655" t="str">
        <f t="shared" si="20"/>
        <v>NORMAL</v>
      </c>
      <c r="J655" s="4" t="str">
        <f t="shared" si="21"/>
        <v>8</v>
      </c>
    </row>
    <row r="656" spans="1:10">
      <c r="A656" s="2">
        <v>655</v>
      </c>
      <c r="B656" s="3">
        <v>46250</v>
      </c>
      <c r="C656" s="2">
        <v>6</v>
      </c>
      <c r="D656" s="2">
        <v>1</v>
      </c>
      <c r="E656" s="2">
        <v>5.4</v>
      </c>
      <c r="F656" s="2">
        <v>1188</v>
      </c>
      <c r="G656" t="str">
        <f>_xlfn.XLOOKUP(C656,products!A:A,products!B:B)</f>
        <v>Strawberry</v>
      </c>
      <c r="H656" t="str">
        <f>_xlfn.XLOOKUP(D656,stores!A:A,stores!B:B)</f>
        <v>Bitola</v>
      </c>
      <c r="I656" t="str">
        <f t="shared" si="20"/>
        <v>NORMAL</v>
      </c>
      <c r="J656" s="4" t="str">
        <f t="shared" si="21"/>
        <v>8</v>
      </c>
    </row>
    <row r="657" spans="1:10">
      <c r="A657" s="2">
        <v>656</v>
      </c>
      <c r="B657" s="3">
        <v>46250</v>
      </c>
      <c r="C657" s="2">
        <v>6</v>
      </c>
      <c r="D657" s="2">
        <v>2</v>
      </c>
      <c r="E657" s="2">
        <v>6.1</v>
      </c>
      <c r="F657" s="2">
        <v>1342</v>
      </c>
      <c r="G657" t="str">
        <f>_xlfn.XLOOKUP(C657,products!A:A,products!B:B)</f>
        <v>Strawberry</v>
      </c>
      <c r="H657" t="str">
        <f>_xlfn.XLOOKUP(D657,stores!A:A,stores!B:B)</f>
        <v>Ohrid</v>
      </c>
      <c r="I657" t="str">
        <f t="shared" si="20"/>
        <v>NORMAL</v>
      </c>
      <c r="J657" s="4" t="str">
        <f t="shared" si="21"/>
        <v>8</v>
      </c>
    </row>
    <row r="658" spans="1:10">
      <c r="A658" s="2">
        <v>657</v>
      </c>
      <c r="B658" s="3">
        <v>46250</v>
      </c>
      <c r="C658" s="2">
        <v>7</v>
      </c>
      <c r="D658" s="2">
        <v>1</v>
      </c>
      <c r="E658" s="2">
        <v>40.7</v>
      </c>
      <c r="F658" s="2">
        <v>3867</v>
      </c>
      <c r="G658" t="str">
        <f>_xlfn.XLOOKUP(C658,products!A:A,products!B:B)</f>
        <v>Peach</v>
      </c>
      <c r="H658" t="str">
        <f>_xlfn.XLOOKUP(D658,stores!A:A,stores!B:B)</f>
        <v>Bitola</v>
      </c>
      <c r="I658" t="str">
        <f t="shared" si="20"/>
        <v>NORMAL</v>
      </c>
      <c r="J658" s="4" t="str">
        <f t="shared" si="21"/>
        <v>8</v>
      </c>
    </row>
    <row r="659" spans="1:10">
      <c r="A659" s="2">
        <v>658</v>
      </c>
      <c r="B659" s="3">
        <v>46250</v>
      </c>
      <c r="C659" s="2">
        <v>7</v>
      </c>
      <c r="D659" s="2">
        <v>2</v>
      </c>
      <c r="E659" s="2">
        <v>54.9</v>
      </c>
      <c r="F659" s="2">
        <v>5216</v>
      </c>
      <c r="G659" t="str">
        <f>_xlfn.XLOOKUP(C659,products!A:A,products!B:B)</f>
        <v>Peach</v>
      </c>
      <c r="H659" t="str">
        <f>_xlfn.XLOOKUP(D659,stores!A:A,stores!B:B)</f>
        <v>Ohrid</v>
      </c>
      <c r="I659" t="str">
        <f t="shared" si="20"/>
        <v>BIG</v>
      </c>
      <c r="J659" s="4" t="str">
        <f t="shared" si="21"/>
        <v>8</v>
      </c>
    </row>
    <row r="660" spans="1:10">
      <c r="A660" s="2">
        <v>659</v>
      </c>
      <c r="B660" s="3">
        <v>46251</v>
      </c>
      <c r="C660" s="2">
        <v>1</v>
      </c>
      <c r="D660" s="2">
        <v>1</v>
      </c>
      <c r="E660" s="2">
        <v>22.1</v>
      </c>
      <c r="F660" s="2">
        <v>1326</v>
      </c>
      <c r="G660" t="str">
        <f>_xlfn.XLOOKUP(C660,products!A:A,products!B:B)</f>
        <v>Apple</v>
      </c>
      <c r="H660" t="str">
        <f>_xlfn.XLOOKUP(D660,stores!A:A,stores!B:B)</f>
        <v>Bitola</v>
      </c>
      <c r="I660" t="str">
        <f t="shared" si="20"/>
        <v>NORMAL</v>
      </c>
      <c r="J660" s="4" t="str">
        <f t="shared" si="21"/>
        <v>8</v>
      </c>
    </row>
    <row r="661" spans="1:10">
      <c r="A661" s="2">
        <v>660</v>
      </c>
      <c r="B661" s="3">
        <v>46251</v>
      </c>
      <c r="C661" s="2">
        <v>1</v>
      </c>
      <c r="D661" s="2">
        <v>2</v>
      </c>
      <c r="E661" s="2">
        <v>31.1</v>
      </c>
      <c r="F661" s="2">
        <v>1866</v>
      </c>
      <c r="G661" t="str">
        <f>_xlfn.XLOOKUP(C661,products!A:A,products!B:B)</f>
        <v>Apple</v>
      </c>
      <c r="H661" t="str">
        <f>_xlfn.XLOOKUP(D661,stores!A:A,stores!B:B)</f>
        <v>Ohrid</v>
      </c>
      <c r="I661" t="str">
        <f t="shared" si="20"/>
        <v>NORMAL</v>
      </c>
      <c r="J661" s="4" t="str">
        <f t="shared" si="21"/>
        <v>8</v>
      </c>
    </row>
    <row r="662" spans="1:10">
      <c r="A662" s="2">
        <v>661</v>
      </c>
      <c r="B662" s="3">
        <v>46251</v>
      </c>
      <c r="C662" s="2">
        <v>2</v>
      </c>
      <c r="D662" s="2">
        <v>1</v>
      </c>
      <c r="E662" s="2">
        <v>20.2</v>
      </c>
      <c r="F662" s="2">
        <v>1818</v>
      </c>
      <c r="G662" t="str">
        <f>_xlfn.XLOOKUP(C662,products!A:A,products!B:B)</f>
        <v>Banana</v>
      </c>
      <c r="H662" t="str">
        <f>_xlfn.XLOOKUP(D662,stores!A:A,stores!B:B)</f>
        <v>Bitola</v>
      </c>
      <c r="I662" t="str">
        <f t="shared" si="20"/>
        <v>NORMAL</v>
      </c>
      <c r="J662" s="4" t="str">
        <f t="shared" si="21"/>
        <v>8</v>
      </c>
    </row>
    <row r="663" spans="1:10">
      <c r="A663" s="2">
        <v>662</v>
      </c>
      <c r="B663" s="3">
        <v>46251</v>
      </c>
      <c r="C663" s="2">
        <v>2</v>
      </c>
      <c r="D663" s="2">
        <v>2</v>
      </c>
      <c r="E663" s="2">
        <v>33.6</v>
      </c>
      <c r="F663" s="2">
        <v>3024</v>
      </c>
      <c r="G663" t="str">
        <f>_xlfn.XLOOKUP(C663,products!A:A,products!B:B)</f>
        <v>Banana</v>
      </c>
      <c r="H663" t="str">
        <f>_xlfn.XLOOKUP(D663,stores!A:A,stores!B:B)</f>
        <v>Ohrid</v>
      </c>
      <c r="I663" t="str">
        <f t="shared" si="20"/>
        <v>NORMAL</v>
      </c>
      <c r="J663" s="4" t="str">
        <f t="shared" si="21"/>
        <v>8</v>
      </c>
    </row>
    <row r="664" spans="1:10">
      <c r="A664" s="2">
        <v>663</v>
      </c>
      <c r="B664" s="3">
        <v>46251</v>
      </c>
      <c r="C664" s="2">
        <v>3</v>
      </c>
      <c r="D664" s="2">
        <v>1</v>
      </c>
      <c r="E664" s="2">
        <v>9.9</v>
      </c>
      <c r="F664" s="2">
        <v>792</v>
      </c>
      <c r="G664" t="str">
        <f>_xlfn.XLOOKUP(C664,products!A:A,products!B:B)</f>
        <v>Orange</v>
      </c>
      <c r="H664" t="str">
        <f>_xlfn.XLOOKUP(D664,stores!A:A,stores!B:B)</f>
        <v>Bitola</v>
      </c>
      <c r="I664" t="str">
        <f t="shared" si="20"/>
        <v>NORMAL</v>
      </c>
      <c r="J664" s="4" t="str">
        <f t="shared" si="21"/>
        <v>8</v>
      </c>
    </row>
    <row r="665" spans="1:10">
      <c r="A665" s="2">
        <v>664</v>
      </c>
      <c r="B665" s="3">
        <v>46251</v>
      </c>
      <c r="C665" s="2">
        <v>3</v>
      </c>
      <c r="D665" s="2">
        <v>2</v>
      </c>
      <c r="E665" s="2">
        <v>13.4</v>
      </c>
      <c r="F665" s="2">
        <v>1072</v>
      </c>
      <c r="G665" t="str">
        <f>_xlfn.XLOOKUP(C665,products!A:A,products!B:B)</f>
        <v>Orange</v>
      </c>
      <c r="H665" t="str">
        <f>_xlfn.XLOOKUP(D665,stores!A:A,stores!B:B)</f>
        <v>Ohrid</v>
      </c>
      <c r="I665" t="str">
        <f t="shared" si="20"/>
        <v>NORMAL</v>
      </c>
      <c r="J665" s="4" t="str">
        <f t="shared" si="21"/>
        <v>8</v>
      </c>
    </row>
    <row r="666" spans="1:10">
      <c r="A666" s="2">
        <v>665</v>
      </c>
      <c r="B666" s="3">
        <v>46251</v>
      </c>
      <c r="C666" s="2">
        <v>4</v>
      </c>
      <c r="D666" s="2">
        <v>1</v>
      </c>
      <c r="E666" s="2">
        <v>82</v>
      </c>
      <c r="F666" s="2">
        <v>2050</v>
      </c>
      <c r="G666" t="str">
        <f>_xlfn.XLOOKUP(C666,products!A:A,products!B:B)</f>
        <v>Watermelon</v>
      </c>
      <c r="H666" t="str">
        <f>_xlfn.XLOOKUP(D666,stores!A:A,stores!B:B)</f>
        <v>Bitola</v>
      </c>
      <c r="I666" t="str">
        <f t="shared" si="20"/>
        <v>BIG</v>
      </c>
      <c r="J666" s="4" t="str">
        <f t="shared" si="21"/>
        <v>8</v>
      </c>
    </row>
    <row r="667" spans="1:10">
      <c r="A667" s="2">
        <v>666</v>
      </c>
      <c r="B667" s="3">
        <v>46251</v>
      </c>
      <c r="C667" s="2">
        <v>4</v>
      </c>
      <c r="D667" s="2">
        <v>2</v>
      </c>
      <c r="E667" s="2">
        <v>87.4</v>
      </c>
      <c r="F667" s="2">
        <v>2185</v>
      </c>
      <c r="G667" t="str">
        <f>_xlfn.XLOOKUP(C667,products!A:A,products!B:B)</f>
        <v>Watermelon</v>
      </c>
      <c r="H667" t="str">
        <f>_xlfn.XLOOKUP(D667,stores!A:A,stores!B:B)</f>
        <v>Ohrid</v>
      </c>
      <c r="I667" t="str">
        <f t="shared" si="20"/>
        <v>BIG</v>
      </c>
      <c r="J667" s="4" t="str">
        <f t="shared" si="21"/>
        <v>8</v>
      </c>
    </row>
    <row r="668" spans="1:10">
      <c r="A668" s="2">
        <v>667</v>
      </c>
      <c r="B668" s="3">
        <v>46251</v>
      </c>
      <c r="C668" s="2">
        <v>5</v>
      </c>
      <c r="D668" s="2">
        <v>1</v>
      </c>
      <c r="E668" s="2">
        <v>15.5</v>
      </c>
      <c r="F668" s="2">
        <v>1705</v>
      </c>
      <c r="G668" t="str">
        <f>_xlfn.XLOOKUP(C668,products!A:A,products!B:B)</f>
        <v>Grapes</v>
      </c>
      <c r="H668" t="str">
        <f>_xlfn.XLOOKUP(D668,stores!A:A,stores!B:B)</f>
        <v>Bitola</v>
      </c>
      <c r="I668" t="str">
        <f t="shared" si="20"/>
        <v>NORMAL</v>
      </c>
      <c r="J668" s="4" t="str">
        <f t="shared" si="21"/>
        <v>8</v>
      </c>
    </row>
    <row r="669" spans="1:10">
      <c r="A669" s="2">
        <v>668</v>
      </c>
      <c r="B669" s="3">
        <v>46251</v>
      </c>
      <c r="C669" s="2">
        <v>5</v>
      </c>
      <c r="D669" s="2">
        <v>2</v>
      </c>
      <c r="E669" s="2">
        <v>19.4</v>
      </c>
      <c r="F669" s="2">
        <v>2134</v>
      </c>
      <c r="G669" t="str">
        <f>_xlfn.XLOOKUP(C669,products!A:A,products!B:B)</f>
        <v>Grapes</v>
      </c>
      <c r="H669" t="str">
        <f>_xlfn.XLOOKUP(D669,stores!A:A,stores!B:B)</f>
        <v>Ohrid</v>
      </c>
      <c r="I669" t="str">
        <f t="shared" si="20"/>
        <v>NORMAL</v>
      </c>
      <c r="J669" s="4" t="str">
        <f t="shared" si="21"/>
        <v>8</v>
      </c>
    </row>
    <row r="670" spans="1:10">
      <c r="A670" s="2">
        <v>669</v>
      </c>
      <c r="B670" s="3">
        <v>46251</v>
      </c>
      <c r="C670" s="2">
        <v>6</v>
      </c>
      <c r="D670" s="2">
        <v>1</v>
      </c>
      <c r="E670" s="2">
        <v>3.1</v>
      </c>
      <c r="F670" s="2">
        <v>682</v>
      </c>
      <c r="G670" t="str">
        <f>_xlfn.XLOOKUP(C670,products!A:A,products!B:B)</f>
        <v>Strawberry</v>
      </c>
      <c r="H670" t="str">
        <f>_xlfn.XLOOKUP(D670,stores!A:A,stores!B:B)</f>
        <v>Bitola</v>
      </c>
      <c r="I670" t="str">
        <f t="shared" si="20"/>
        <v>NORMAL</v>
      </c>
      <c r="J670" s="4" t="str">
        <f t="shared" si="21"/>
        <v>8</v>
      </c>
    </row>
    <row r="671" spans="1:10">
      <c r="A671" s="2">
        <v>670</v>
      </c>
      <c r="B671" s="3">
        <v>46251</v>
      </c>
      <c r="C671" s="2">
        <v>6</v>
      </c>
      <c r="D671" s="2">
        <v>2</v>
      </c>
      <c r="E671" s="2">
        <v>5.8</v>
      </c>
      <c r="F671" s="2">
        <v>1276</v>
      </c>
      <c r="G671" t="str">
        <f>_xlfn.XLOOKUP(C671,products!A:A,products!B:B)</f>
        <v>Strawberry</v>
      </c>
      <c r="H671" t="str">
        <f>_xlfn.XLOOKUP(D671,stores!A:A,stores!B:B)</f>
        <v>Ohrid</v>
      </c>
      <c r="I671" t="str">
        <f t="shared" si="20"/>
        <v>NORMAL</v>
      </c>
      <c r="J671" s="4" t="str">
        <f t="shared" si="21"/>
        <v>8</v>
      </c>
    </row>
    <row r="672" spans="1:10">
      <c r="A672" s="2">
        <v>671</v>
      </c>
      <c r="B672" s="3">
        <v>46251</v>
      </c>
      <c r="C672" s="2">
        <v>7</v>
      </c>
      <c r="D672" s="2">
        <v>1</v>
      </c>
      <c r="E672" s="2">
        <v>16.3</v>
      </c>
      <c r="F672" s="2">
        <v>1548</v>
      </c>
      <c r="G672" t="str">
        <f>_xlfn.XLOOKUP(C672,products!A:A,products!B:B)</f>
        <v>Peach</v>
      </c>
      <c r="H672" t="str">
        <f>_xlfn.XLOOKUP(D672,stores!A:A,stores!B:B)</f>
        <v>Bitola</v>
      </c>
      <c r="I672" t="str">
        <f t="shared" si="20"/>
        <v>NORMAL</v>
      </c>
      <c r="J672" s="4" t="str">
        <f t="shared" si="21"/>
        <v>8</v>
      </c>
    </row>
    <row r="673" spans="1:10">
      <c r="A673" s="2">
        <v>672</v>
      </c>
      <c r="B673" s="3">
        <v>46251</v>
      </c>
      <c r="C673" s="2">
        <v>7</v>
      </c>
      <c r="D673" s="2">
        <v>2</v>
      </c>
      <c r="E673" s="2">
        <v>44.4</v>
      </c>
      <c r="F673" s="2">
        <v>4218</v>
      </c>
      <c r="G673" t="str">
        <f>_xlfn.XLOOKUP(C673,products!A:A,products!B:B)</f>
        <v>Peach</v>
      </c>
      <c r="H673" t="str">
        <f>_xlfn.XLOOKUP(D673,stores!A:A,stores!B:B)</f>
        <v>Ohrid</v>
      </c>
      <c r="I673" t="str">
        <f t="shared" si="20"/>
        <v>NORMAL</v>
      </c>
      <c r="J673" s="4" t="str">
        <f t="shared" si="21"/>
        <v>8</v>
      </c>
    </row>
    <row r="674" spans="1:10">
      <c r="A674" s="2">
        <v>673</v>
      </c>
      <c r="B674" s="3">
        <v>46252</v>
      </c>
      <c r="C674" s="2">
        <v>1</v>
      </c>
      <c r="D674" s="2">
        <v>1</v>
      </c>
      <c r="E674" s="2">
        <v>23.4</v>
      </c>
      <c r="F674" s="2">
        <v>1404</v>
      </c>
      <c r="G674" t="str">
        <f>_xlfn.XLOOKUP(C674,products!A:A,products!B:B)</f>
        <v>Apple</v>
      </c>
      <c r="H674" t="str">
        <f>_xlfn.XLOOKUP(D674,stores!A:A,stores!B:B)</f>
        <v>Bitola</v>
      </c>
      <c r="I674" t="str">
        <f t="shared" si="20"/>
        <v>NORMAL</v>
      </c>
      <c r="J674" s="4" t="str">
        <f t="shared" si="21"/>
        <v>8</v>
      </c>
    </row>
    <row r="675" spans="1:10">
      <c r="A675" s="2">
        <v>674</v>
      </c>
      <c r="B675" s="3">
        <v>46252</v>
      </c>
      <c r="C675" s="2">
        <v>1</v>
      </c>
      <c r="D675" s="2">
        <v>2</v>
      </c>
      <c r="E675" s="2">
        <v>29.7</v>
      </c>
      <c r="F675" s="2">
        <v>1782</v>
      </c>
      <c r="G675" t="str">
        <f>_xlfn.XLOOKUP(C675,products!A:A,products!B:B)</f>
        <v>Apple</v>
      </c>
      <c r="H675" t="str">
        <f>_xlfn.XLOOKUP(D675,stores!A:A,stores!B:B)</f>
        <v>Ohrid</v>
      </c>
      <c r="I675" t="str">
        <f t="shared" si="20"/>
        <v>NORMAL</v>
      </c>
      <c r="J675" s="4" t="str">
        <f t="shared" si="21"/>
        <v>8</v>
      </c>
    </row>
    <row r="676" spans="1:10">
      <c r="A676" s="2">
        <v>675</v>
      </c>
      <c r="B676" s="3">
        <v>46252</v>
      </c>
      <c r="C676" s="2">
        <v>2</v>
      </c>
      <c r="D676" s="2">
        <v>1</v>
      </c>
      <c r="E676" s="2">
        <v>19.2</v>
      </c>
      <c r="F676" s="2">
        <v>1728</v>
      </c>
      <c r="G676" t="str">
        <f>_xlfn.XLOOKUP(C676,products!A:A,products!B:B)</f>
        <v>Banana</v>
      </c>
      <c r="H676" t="str">
        <f>_xlfn.XLOOKUP(D676,stores!A:A,stores!B:B)</f>
        <v>Bitola</v>
      </c>
      <c r="I676" t="str">
        <f t="shared" si="20"/>
        <v>NORMAL</v>
      </c>
      <c r="J676" s="4" t="str">
        <f t="shared" si="21"/>
        <v>8</v>
      </c>
    </row>
    <row r="677" spans="1:10">
      <c r="A677" s="2">
        <v>676</v>
      </c>
      <c r="B677" s="3">
        <v>46252</v>
      </c>
      <c r="C677" s="2">
        <v>2</v>
      </c>
      <c r="D677" s="2">
        <v>2</v>
      </c>
      <c r="E677" s="2">
        <v>29.2</v>
      </c>
      <c r="F677" s="2">
        <v>2628</v>
      </c>
      <c r="G677" t="str">
        <f>_xlfn.XLOOKUP(C677,products!A:A,products!B:B)</f>
        <v>Banana</v>
      </c>
      <c r="H677" t="str">
        <f>_xlfn.XLOOKUP(D677,stores!A:A,stores!B:B)</f>
        <v>Ohrid</v>
      </c>
      <c r="I677" t="str">
        <f t="shared" si="20"/>
        <v>NORMAL</v>
      </c>
      <c r="J677" s="4" t="str">
        <f t="shared" si="21"/>
        <v>8</v>
      </c>
    </row>
    <row r="678" spans="1:10">
      <c r="A678" s="2">
        <v>677</v>
      </c>
      <c r="B678" s="3">
        <v>46252</v>
      </c>
      <c r="C678" s="2">
        <v>3</v>
      </c>
      <c r="D678" s="2">
        <v>1</v>
      </c>
      <c r="E678" s="2">
        <v>8.7</v>
      </c>
      <c r="F678" s="2">
        <v>696</v>
      </c>
      <c r="G678" t="str">
        <f>_xlfn.XLOOKUP(C678,products!A:A,products!B:B)</f>
        <v>Orange</v>
      </c>
      <c r="H678" t="str">
        <f>_xlfn.XLOOKUP(D678,stores!A:A,stores!B:B)</f>
        <v>Bitola</v>
      </c>
      <c r="I678" t="str">
        <f t="shared" si="20"/>
        <v>NORMAL</v>
      </c>
      <c r="J678" s="4" t="str">
        <f t="shared" si="21"/>
        <v>8</v>
      </c>
    </row>
    <row r="679" spans="1:10">
      <c r="A679" s="2">
        <v>678</v>
      </c>
      <c r="B679" s="3">
        <v>46252</v>
      </c>
      <c r="C679" s="2">
        <v>3</v>
      </c>
      <c r="D679" s="2">
        <v>2</v>
      </c>
      <c r="E679" s="2">
        <v>7</v>
      </c>
      <c r="F679" s="2">
        <v>560</v>
      </c>
      <c r="G679" t="str">
        <f>_xlfn.XLOOKUP(C679,products!A:A,products!B:B)</f>
        <v>Orange</v>
      </c>
      <c r="H679" t="str">
        <f>_xlfn.XLOOKUP(D679,stores!A:A,stores!B:B)</f>
        <v>Ohrid</v>
      </c>
      <c r="I679" t="str">
        <f t="shared" si="20"/>
        <v>NORMAL</v>
      </c>
      <c r="J679" s="4" t="str">
        <f t="shared" si="21"/>
        <v>8</v>
      </c>
    </row>
    <row r="680" spans="1:10">
      <c r="A680" s="2">
        <v>679</v>
      </c>
      <c r="B680" s="3">
        <v>46252</v>
      </c>
      <c r="C680" s="2">
        <v>4</v>
      </c>
      <c r="D680" s="2">
        <v>1</v>
      </c>
      <c r="E680" s="2">
        <v>82.9</v>
      </c>
      <c r="F680" s="2">
        <v>2072</v>
      </c>
      <c r="G680" t="str">
        <f>_xlfn.XLOOKUP(C680,products!A:A,products!B:B)</f>
        <v>Watermelon</v>
      </c>
      <c r="H680" t="str">
        <f>_xlfn.XLOOKUP(D680,stores!A:A,stores!B:B)</f>
        <v>Bitola</v>
      </c>
      <c r="I680" t="str">
        <f t="shared" si="20"/>
        <v>BIG</v>
      </c>
      <c r="J680" s="4" t="str">
        <f t="shared" si="21"/>
        <v>8</v>
      </c>
    </row>
    <row r="681" spans="1:10">
      <c r="A681" s="2">
        <v>680</v>
      </c>
      <c r="B681" s="3">
        <v>46252</v>
      </c>
      <c r="C681" s="2">
        <v>4</v>
      </c>
      <c r="D681" s="2">
        <v>2</v>
      </c>
      <c r="E681" s="2">
        <v>135.9</v>
      </c>
      <c r="F681" s="2">
        <v>3398</v>
      </c>
      <c r="G681" t="str">
        <f>_xlfn.XLOOKUP(C681,products!A:A,products!B:B)</f>
        <v>Watermelon</v>
      </c>
      <c r="H681" t="str">
        <f>_xlfn.XLOOKUP(D681,stores!A:A,stores!B:B)</f>
        <v>Ohrid</v>
      </c>
      <c r="I681" t="str">
        <f t="shared" si="20"/>
        <v>BIG</v>
      </c>
      <c r="J681" s="4" t="str">
        <f t="shared" si="21"/>
        <v>8</v>
      </c>
    </row>
    <row r="682" spans="1:10">
      <c r="A682" s="2">
        <v>681</v>
      </c>
      <c r="B682" s="3">
        <v>46252</v>
      </c>
      <c r="C682" s="2">
        <v>5</v>
      </c>
      <c r="D682" s="2">
        <v>1</v>
      </c>
      <c r="E682" s="2">
        <v>14.1</v>
      </c>
      <c r="F682" s="2">
        <v>1551</v>
      </c>
      <c r="G682" t="str">
        <f>_xlfn.XLOOKUP(C682,products!A:A,products!B:B)</f>
        <v>Grapes</v>
      </c>
      <c r="H682" t="str">
        <f>_xlfn.XLOOKUP(D682,stores!A:A,stores!B:B)</f>
        <v>Bitola</v>
      </c>
      <c r="I682" t="str">
        <f t="shared" si="20"/>
        <v>NORMAL</v>
      </c>
      <c r="J682" s="4" t="str">
        <f t="shared" si="21"/>
        <v>8</v>
      </c>
    </row>
    <row r="683" spans="1:10">
      <c r="A683" s="2">
        <v>682</v>
      </c>
      <c r="B683" s="3">
        <v>46252</v>
      </c>
      <c r="C683" s="2">
        <v>5</v>
      </c>
      <c r="D683" s="2">
        <v>2</v>
      </c>
      <c r="E683" s="2">
        <v>20.3</v>
      </c>
      <c r="F683" s="2">
        <v>2233</v>
      </c>
      <c r="G683" t="str">
        <f>_xlfn.XLOOKUP(C683,products!A:A,products!B:B)</f>
        <v>Grapes</v>
      </c>
      <c r="H683" t="str">
        <f>_xlfn.XLOOKUP(D683,stores!A:A,stores!B:B)</f>
        <v>Ohrid</v>
      </c>
      <c r="I683" t="str">
        <f t="shared" si="20"/>
        <v>NORMAL</v>
      </c>
      <c r="J683" s="4" t="str">
        <f t="shared" si="21"/>
        <v>8</v>
      </c>
    </row>
    <row r="684" spans="1:10">
      <c r="A684" s="2">
        <v>683</v>
      </c>
      <c r="B684" s="3">
        <v>46252</v>
      </c>
      <c r="C684" s="2">
        <v>6</v>
      </c>
      <c r="D684" s="2">
        <v>1</v>
      </c>
      <c r="E684" s="2">
        <v>4.1</v>
      </c>
      <c r="F684" s="2">
        <v>902</v>
      </c>
      <c r="G684" t="str">
        <f>_xlfn.XLOOKUP(C684,products!A:A,products!B:B)</f>
        <v>Strawberry</v>
      </c>
      <c r="H684" t="str">
        <f>_xlfn.XLOOKUP(D684,stores!A:A,stores!B:B)</f>
        <v>Bitola</v>
      </c>
      <c r="I684" t="str">
        <f t="shared" si="20"/>
        <v>NORMAL</v>
      </c>
      <c r="J684" s="4" t="str">
        <f t="shared" si="21"/>
        <v>8</v>
      </c>
    </row>
    <row r="685" spans="1:10">
      <c r="A685" s="2">
        <v>684</v>
      </c>
      <c r="B685" s="3">
        <v>46252</v>
      </c>
      <c r="C685" s="2">
        <v>6</v>
      </c>
      <c r="D685" s="2">
        <v>2</v>
      </c>
      <c r="E685" s="2">
        <v>6.4</v>
      </c>
      <c r="F685" s="2">
        <v>1408</v>
      </c>
      <c r="G685" t="str">
        <f>_xlfn.XLOOKUP(C685,products!A:A,products!B:B)</f>
        <v>Strawberry</v>
      </c>
      <c r="H685" t="str">
        <f>_xlfn.XLOOKUP(D685,stores!A:A,stores!B:B)</f>
        <v>Ohrid</v>
      </c>
      <c r="I685" t="str">
        <f t="shared" si="20"/>
        <v>NORMAL</v>
      </c>
      <c r="J685" s="4" t="str">
        <f t="shared" si="21"/>
        <v>8</v>
      </c>
    </row>
    <row r="686" spans="1:10">
      <c r="A686" s="2">
        <v>685</v>
      </c>
      <c r="B686" s="3">
        <v>46252</v>
      </c>
      <c r="C686" s="2">
        <v>7</v>
      </c>
      <c r="D686" s="2">
        <v>1</v>
      </c>
      <c r="E686" s="2">
        <v>31.7</v>
      </c>
      <c r="F686" s="2">
        <v>3012</v>
      </c>
      <c r="G686" t="str">
        <f>_xlfn.XLOOKUP(C686,products!A:A,products!B:B)</f>
        <v>Peach</v>
      </c>
      <c r="H686" t="str">
        <f>_xlfn.XLOOKUP(D686,stores!A:A,stores!B:B)</f>
        <v>Bitola</v>
      </c>
      <c r="I686" t="str">
        <f t="shared" si="20"/>
        <v>NORMAL</v>
      </c>
      <c r="J686" s="4" t="str">
        <f t="shared" si="21"/>
        <v>8</v>
      </c>
    </row>
    <row r="687" spans="1:10">
      <c r="A687" s="2">
        <v>686</v>
      </c>
      <c r="B687" s="3">
        <v>46252</v>
      </c>
      <c r="C687" s="2">
        <v>7</v>
      </c>
      <c r="D687" s="2">
        <v>2</v>
      </c>
      <c r="E687" s="2">
        <v>39.1</v>
      </c>
      <c r="F687" s="2">
        <v>3714</v>
      </c>
      <c r="G687" t="str">
        <f>_xlfn.XLOOKUP(C687,products!A:A,products!B:B)</f>
        <v>Peach</v>
      </c>
      <c r="H687" t="str">
        <f>_xlfn.XLOOKUP(D687,stores!A:A,stores!B:B)</f>
        <v>Ohrid</v>
      </c>
      <c r="I687" t="str">
        <f t="shared" si="20"/>
        <v>NORMAL</v>
      </c>
      <c r="J687" s="4" t="str">
        <f t="shared" si="21"/>
        <v>8</v>
      </c>
    </row>
    <row r="688" spans="1:10">
      <c r="A688" s="2">
        <v>687</v>
      </c>
      <c r="B688" s="3">
        <v>46253</v>
      </c>
      <c r="C688" s="2">
        <v>1</v>
      </c>
      <c r="D688" s="2">
        <v>1</v>
      </c>
      <c r="E688" s="2">
        <v>17.2</v>
      </c>
      <c r="F688" s="2">
        <v>1032</v>
      </c>
      <c r="G688" t="str">
        <f>_xlfn.XLOOKUP(C688,products!A:A,products!B:B)</f>
        <v>Apple</v>
      </c>
      <c r="H688" t="str">
        <f>_xlfn.XLOOKUP(D688,stores!A:A,stores!B:B)</f>
        <v>Bitola</v>
      </c>
      <c r="I688" t="str">
        <f t="shared" si="20"/>
        <v>NORMAL</v>
      </c>
      <c r="J688" s="4" t="str">
        <f t="shared" si="21"/>
        <v>8</v>
      </c>
    </row>
    <row r="689" spans="1:10">
      <c r="A689" s="2">
        <v>688</v>
      </c>
      <c r="B689" s="3">
        <v>46253</v>
      </c>
      <c r="C689" s="2">
        <v>1</v>
      </c>
      <c r="D689" s="2">
        <v>2</v>
      </c>
      <c r="E689" s="2">
        <v>27.2</v>
      </c>
      <c r="F689" s="2">
        <v>1632</v>
      </c>
      <c r="G689" t="str">
        <f>_xlfn.XLOOKUP(C689,products!A:A,products!B:B)</f>
        <v>Apple</v>
      </c>
      <c r="H689" t="str">
        <f>_xlfn.XLOOKUP(D689,stores!A:A,stores!B:B)</f>
        <v>Ohrid</v>
      </c>
      <c r="I689" t="str">
        <f t="shared" si="20"/>
        <v>NORMAL</v>
      </c>
      <c r="J689" s="4" t="str">
        <f t="shared" si="21"/>
        <v>8</v>
      </c>
    </row>
    <row r="690" spans="1:10">
      <c r="A690" s="2">
        <v>689</v>
      </c>
      <c r="B690" s="3">
        <v>46253</v>
      </c>
      <c r="C690" s="2">
        <v>2</v>
      </c>
      <c r="D690" s="2">
        <v>1</v>
      </c>
      <c r="E690" s="2">
        <v>24.9</v>
      </c>
      <c r="F690" s="2">
        <v>2241</v>
      </c>
      <c r="G690" t="str">
        <f>_xlfn.XLOOKUP(C690,products!A:A,products!B:B)</f>
        <v>Banana</v>
      </c>
      <c r="H690" t="str">
        <f>_xlfn.XLOOKUP(D690,stores!A:A,stores!B:B)</f>
        <v>Bitola</v>
      </c>
      <c r="I690" t="str">
        <f t="shared" si="20"/>
        <v>NORMAL</v>
      </c>
      <c r="J690" s="4" t="str">
        <f t="shared" si="21"/>
        <v>8</v>
      </c>
    </row>
    <row r="691" spans="1:10">
      <c r="A691" s="2">
        <v>690</v>
      </c>
      <c r="B691" s="3">
        <v>46253</v>
      </c>
      <c r="C691" s="2">
        <v>2</v>
      </c>
      <c r="D691" s="2">
        <v>2</v>
      </c>
      <c r="E691" s="2">
        <v>47.2</v>
      </c>
      <c r="F691" s="2">
        <v>4248</v>
      </c>
      <c r="G691" t="str">
        <f>_xlfn.XLOOKUP(C691,products!A:A,products!B:B)</f>
        <v>Banana</v>
      </c>
      <c r="H691" t="str">
        <f>_xlfn.XLOOKUP(D691,stores!A:A,stores!B:B)</f>
        <v>Ohrid</v>
      </c>
      <c r="I691" t="str">
        <f t="shared" si="20"/>
        <v>NORMAL</v>
      </c>
      <c r="J691" s="4" t="str">
        <f t="shared" si="21"/>
        <v>8</v>
      </c>
    </row>
    <row r="692" spans="1:10">
      <c r="A692" s="2">
        <v>691</v>
      </c>
      <c r="B692" s="3">
        <v>46253</v>
      </c>
      <c r="C692" s="2">
        <v>3</v>
      </c>
      <c r="D692" s="2">
        <v>1</v>
      </c>
      <c r="E692" s="2">
        <v>8.4</v>
      </c>
      <c r="F692" s="2">
        <v>672</v>
      </c>
      <c r="G692" t="str">
        <f>_xlfn.XLOOKUP(C692,products!A:A,products!B:B)</f>
        <v>Orange</v>
      </c>
      <c r="H692" t="str">
        <f>_xlfn.XLOOKUP(D692,stores!A:A,stores!B:B)</f>
        <v>Bitola</v>
      </c>
      <c r="I692" t="str">
        <f t="shared" si="20"/>
        <v>NORMAL</v>
      </c>
      <c r="J692" s="4" t="str">
        <f t="shared" si="21"/>
        <v>8</v>
      </c>
    </row>
    <row r="693" spans="1:10">
      <c r="A693" s="2">
        <v>692</v>
      </c>
      <c r="B693" s="3">
        <v>46253</v>
      </c>
      <c r="C693" s="2">
        <v>3</v>
      </c>
      <c r="D693" s="2">
        <v>2</v>
      </c>
      <c r="E693" s="2">
        <v>10.7</v>
      </c>
      <c r="F693" s="2">
        <v>856</v>
      </c>
      <c r="G693" t="str">
        <f>_xlfn.XLOOKUP(C693,products!A:A,products!B:B)</f>
        <v>Orange</v>
      </c>
      <c r="H693" t="str">
        <f>_xlfn.XLOOKUP(D693,stores!A:A,stores!B:B)</f>
        <v>Ohrid</v>
      </c>
      <c r="I693" t="str">
        <f t="shared" si="20"/>
        <v>NORMAL</v>
      </c>
      <c r="J693" s="4" t="str">
        <f t="shared" si="21"/>
        <v>8</v>
      </c>
    </row>
    <row r="694" spans="1:10">
      <c r="A694" s="2">
        <v>693</v>
      </c>
      <c r="B694" s="3">
        <v>46253</v>
      </c>
      <c r="C694" s="2">
        <v>4</v>
      </c>
      <c r="D694" s="2">
        <v>1</v>
      </c>
      <c r="E694" s="2">
        <v>66.1</v>
      </c>
      <c r="F694" s="2">
        <v>1652</v>
      </c>
      <c r="G694" t="str">
        <f>_xlfn.XLOOKUP(C694,products!A:A,products!B:B)</f>
        <v>Watermelon</v>
      </c>
      <c r="H694" t="str">
        <f>_xlfn.XLOOKUP(D694,stores!A:A,stores!B:B)</f>
        <v>Bitola</v>
      </c>
      <c r="I694" t="str">
        <f t="shared" si="20"/>
        <v>BIG</v>
      </c>
      <c r="J694" s="4" t="str">
        <f t="shared" si="21"/>
        <v>8</v>
      </c>
    </row>
    <row r="695" spans="1:10">
      <c r="A695" s="2">
        <v>694</v>
      </c>
      <c r="B695" s="3">
        <v>46253</v>
      </c>
      <c r="C695" s="2">
        <v>4</v>
      </c>
      <c r="D695" s="2">
        <v>2</v>
      </c>
      <c r="E695" s="2">
        <v>69.7</v>
      </c>
      <c r="F695" s="2">
        <v>1742</v>
      </c>
      <c r="G695" t="str">
        <f>_xlfn.XLOOKUP(C695,products!A:A,products!B:B)</f>
        <v>Watermelon</v>
      </c>
      <c r="H695" t="str">
        <f>_xlfn.XLOOKUP(D695,stores!A:A,stores!B:B)</f>
        <v>Ohrid</v>
      </c>
      <c r="I695" t="str">
        <f t="shared" si="20"/>
        <v>BIG</v>
      </c>
      <c r="J695" s="4" t="str">
        <f t="shared" si="21"/>
        <v>8</v>
      </c>
    </row>
    <row r="696" spans="1:10">
      <c r="A696" s="2">
        <v>695</v>
      </c>
      <c r="B696" s="3">
        <v>46253</v>
      </c>
      <c r="C696" s="2">
        <v>5</v>
      </c>
      <c r="D696" s="2">
        <v>1</v>
      </c>
      <c r="E696" s="2">
        <v>16</v>
      </c>
      <c r="F696" s="2">
        <v>1760</v>
      </c>
      <c r="G696" t="str">
        <f>_xlfn.XLOOKUP(C696,products!A:A,products!B:B)</f>
        <v>Grapes</v>
      </c>
      <c r="H696" t="str">
        <f>_xlfn.XLOOKUP(D696,stores!A:A,stores!B:B)</f>
        <v>Bitola</v>
      </c>
      <c r="I696" t="str">
        <f t="shared" si="20"/>
        <v>NORMAL</v>
      </c>
      <c r="J696" s="4" t="str">
        <f t="shared" si="21"/>
        <v>8</v>
      </c>
    </row>
    <row r="697" spans="1:10">
      <c r="A697" s="2">
        <v>696</v>
      </c>
      <c r="B697" s="3">
        <v>46253</v>
      </c>
      <c r="C697" s="2">
        <v>5</v>
      </c>
      <c r="D697" s="2">
        <v>2</v>
      </c>
      <c r="E697" s="2">
        <v>16.4</v>
      </c>
      <c r="F697" s="2">
        <v>1804</v>
      </c>
      <c r="G697" t="str">
        <f>_xlfn.XLOOKUP(C697,products!A:A,products!B:B)</f>
        <v>Grapes</v>
      </c>
      <c r="H697" t="str">
        <f>_xlfn.XLOOKUP(D697,stores!A:A,stores!B:B)</f>
        <v>Ohrid</v>
      </c>
      <c r="I697" t="str">
        <f t="shared" si="20"/>
        <v>NORMAL</v>
      </c>
      <c r="J697" s="4" t="str">
        <f t="shared" si="21"/>
        <v>8</v>
      </c>
    </row>
    <row r="698" spans="1:10">
      <c r="A698" s="2">
        <v>697</v>
      </c>
      <c r="B698" s="3">
        <v>46253</v>
      </c>
      <c r="C698" s="2">
        <v>6</v>
      </c>
      <c r="D698" s="2">
        <v>1</v>
      </c>
      <c r="E698" s="2">
        <v>3</v>
      </c>
      <c r="F698" s="2">
        <v>660</v>
      </c>
      <c r="G698" t="str">
        <f>_xlfn.XLOOKUP(C698,products!A:A,products!B:B)</f>
        <v>Strawberry</v>
      </c>
      <c r="H698" t="str">
        <f>_xlfn.XLOOKUP(D698,stores!A:A,stores!B:B)</f>
        <v>Bitola</v>
      </c>
      <c r="I698" t="str">
        <f t="shared" si="20"/>
        <v>NORMAL</v>
      </c>
      <c r="J698" s="4" t="str">
        <f t="shared" si="21"/>
        <v>8</v>
      </c>
    </row>
    <row r="699" spans="1:10">
      <c r="A699" s="2">
        <v>698</v>
      </c>
      <c r="B699" s="3">
        <v>46253</v>
      </c>
      <c r="C699" s="2">
        <v>6</v>
      </c>
      <c r="D699" s="2">
        <v>2</v>
      </c>
      <c r="E699" s="2">
        <v>3.6</v>
      </c>
      <c r="F699" s="2">
        <v>792</v>
      </c>
      <c r="G699" t="str">
        <f>_xlfn.XLOOKUP(C699,products!A:A,products!B:B)</f>
        <v>Strawberry</v>
      </c>
      <c r="H699" t="str">
        <f>_xlfn.XLOOKUP(D699,stores!A:A,stores!B:B)</f>
        <v>Ohrid</v>
      </c>
      <c r="I699" t="str">
        <f t="shared" si="20"/>
        <v>NORMAL</v>
      </c>
      <c r="J699" s="4" t="str">
        <f t="shared" si="21"/>
        <v>8</v>
      </c>
    </row>
    <row r="700" spans="1:10">
      <c r="A700" s="2">
        <v>699</v>
      </c>
      <c r="B700" s="3">
        <v>46253</v>
      </c>
      <c r="C700" s="2">
        <v>7</v>
      </c>
      <c r="D700" s="2">
        <v>1</v>
      </c>
      <c r="E700" s="2">
        <v>20.2</v>
      </c>
      <c r="F700" s="2">
        <v>1919</v>
      </c>
      <c r="G700" t="str">
        <f>_xlfn.XLOOKUP(C700,products!A:A,products!B:B)</f>
        <v>Peach</v>
      </c>
      <c r="H700" t="str">
        <f>_xlfn.XLOOKUP(D700,stores!A:A,stores!B:B)</f>
        <v>Bitola</v>
      </c>
      <c r="I700" t="str">
        <f t="shared" si="20"/>
        <v>NORMAL</v>
      </c>
      <c r="J700" s="4" t="str">
        <f t="shared" si="21"/>
        <v>8</v>
      </c>
    </row>
    <row r="701" spans="1:10">
      <c r="A701" s="2">
        <v>700</v>
      </c>
      <c r="B701" s="3">
        <v>46253</v>
      </c>
      <c r="C701" s="2">
        <v>7</v>
      </c>
      <c r="D701" s="2">
        <v>2</v>
      </c>
      <c r="E701" s="2">
        <v>43.4</v>
      </c>
      <c r="F701" s="2">
        <v>4123</v>
      </c>
      <c r="G701" t="str">
        <f>_xlfn.XLOOKUP(C701,products!A:A,products!B:B)</f>
        <v>Peach</v>
      </c>
      <c r="H701" t="str">
        <f>_xlfn.XLOOKUP(D701,stores!A:A,stores!B:B)</f>
        <v>Ohrid</v>
      </c>
      <c r="I701" t="str">
        <f t="shared" si="20"/>
        <v>NORMAL</v>
      </c>
      <c r="J701" s="4" t="str">
        <f t="shared" si="21"/>
        <v>8</v>
      </c>
    </row>
    <row r="702" spans="1:10">
      <c r="A702" s="2">
        <v>701</v>
      </c>
      <c r="B702" s="3">
        <v>46254</v>
      </c>
      <c r="C702" s="2">
        <v>1</v>
      </c>
      <c r="D702" s="2">
        <v>1</v>
      </c>
      <c r="E702" s="2">
        <v>14.8</v>
      </c>
      <c r="F702" s="2">
        <v>888</v>
      </c>
      <c r="G702" t="str">
        <f>_xlfn.XLOOKUP(C702,products!A:A,products!B:B)</f>
        <v>Apple</v>
      </c>
      <c r="H702" t="str">
        <f>_xlfn.XLOOKUP(D702,stores!A:A,stores!B:B)</f>
        <v>Bitola</v>
      </c>
      <c r="I702" t="str">
        <f t="shared" si="20"/>
        <v>NORMAL</v>
      </c>
      <c r="J702" s="4" t="str">
        <f t="shared" si="21"/>
        <v>8</v>
      </c>
    </row>
    <row r="703" spans="1:10">
      <c r="A703" s="2">
        <v>702</v>
      </c>
      <c r="B703" s="3">
        <v>46254</v>
      </c>
      <c r="C703" s="2">
        <v>1</v>
      </c>
      <c r="D703" s="2">
        <v>2</v>
      </c>
      <c r="E703" s="2">
        <v>19.5</v>
      </c>
      <c r="F703" s="2">
        <v>1170</v>
      </c>
      <c r="G703" t="str">
        <f>_xlfn.XLOOKUP(C703,products!A:A,products!B:B)</f>
        <v>Apple</v>
      </c>
      <c r="H703" t="str">
        <f>_xlfn.XLOOKUP(D703,stores!A:A,stores!B:B)</f>
        <v>Ohrid</v>
      </c>
      <c r="I703" t="str">
        <f t="shared" si="20"/>
        <v>NORMAL</v>
      </c>
      <c r="J703" s="4" t="str">
        <f t="shared" si="21"/>
        <v>8</v>
      </c>
    </row>
    <row r="704" spans="1:10">
      <c r="A704" s="2">
        <v>703</v>
      </c>
      <c r="B704" s="3">
        <v>46254</v>
      </c>
      <c r="C704" s="2">
        <v>2</v>
      </c>
      <c r="D704" s="2">
        <v>1</v>
      </c>
      <c r="E704" s="2">
        <v>24.9</v>
      </c>
      <c r="F704" s="2">
        <v>2241</v>
      </c>
      <c r="G704" t="str">
        <f>_xlfn.XLOOKUP(C704,products!A:A,products!B:B)</f>
        <v>Banana</v>
      </c>
      <c r="H704" t="str">
        <f>_xlfn.XLOOKUP(D704,stores!A:A,stores!B:B)</f>
        <v>Bitola</v>
      </c>
      <c r="I704" t="str">
        <f t="shared" si="20"/>
        <v>NORMAL</v>
      </c>
      <c r="J704" s="4" t="str">
        <f t="shared" si="21"/>
        <v>8</v>
      </c>
    </row>
    <row r="705" spans="1:10">
      <c r="A705" s="2">
        <v>704</v>
      </c>
      <c r="B705" s="3">
        <v>46254</v>
      </c>
      <c r="C705" s="2">
        <v>2</v>
      </c>
      <c r="D705" s="2">
        <v>2</v>
      </c>
      <c r="E705" s="2">
        <v>33.5</v>
      </c>
      <c r="F705" s="2">
        <v>3015</v>
      </c>
      <c r="G705" t="str">
        <f>_xlfn.XLOOKUP(C705,products!A:A,products!B:B)</f>
        <v>Banana</v>
      </c>
      <c r="H705" t="str">
        <f>_xlfn.XLOOKUP(D705,stores!A:A,stores!B:B)</f>
        <v>Ohrid</v>
      </c>
      <c r="I705" t="str">
        <f t="shared" si="20"/>
        <v>NORMAL</v>
      </c>
      <c r="J705" s="4" t="str">
        <f t="shared" si="21"/>
        <v>8</v>
      </c>
    </row>
    <row r="706" spans="1:10">
      <c r="A706" s="2">
        <v>705</v>
      </c>
      <c r="B706" s="3">
        <v>46254</v>
      </c>
      <c r="C706" s="2">
        <v>3</v>
      </c>
      <c r="D706" s="2">
        <v>1</v>
      </c>
      <c r="E706" s="2">
        <v>9.8</v>
      </c>
      <c r="F706" s="2">
        <v>784</v>
      </c>
      <c r="G706" t="str">
        <f>_xlfn.XLOOKUP(C706,products!A:A,products!B:B)</f>
        <v>Orange</v>
      </c>
      <c r="H706" t="str">
        <f>_xlfn.XLOOKUP(D706,stores!A:A,stores!B:B)</f>
        <v>Bitola</v>
      </c>
      <c r="I706" t="str">
        <f t="shared" ref="I706:I769" si="22">IF(E706&gt;50,"BIG","NORMAL")</f>
        <v>NORMAL</v>
      </c>
      <c r="J706" s="4" t="str">
        <f t="shared" ref="J706:J769" si="23">TEXT(B706,"m")</f>
        <v>8</v>
      </c>
    </row>
    <row r="707" spans="1:10">
      <c r="A707" s="2">
        <v>706</v>
      </c>
      <c r="B707" s="3">
        <v>46254</v>
      </c>
      <c r="C707" s="2">
        <v>3</v>
      </c>
      <c r="D707" s="2">
        <v>2</v>
      </c>
      <c r="E707" s="2">
        <v>15.5</v>
      </c>
      <c r="F707" s="2">
        <v>1240</v>
      </c>
      <c r="G707" t="str">
        <f>_xlfn.XLOOKUP(C707,products!A:A,products!B:B)</f>
        <v>Orange</v>
      </c>
      <c r="H707" t="str">
        <f>_xlfn.XLOOKUP(D707,stores!A:A,stores!B:B)</f>
        <v>Ohrid</v>
      </c>
      <c r="I707" t="str">
        <f t="shared" si="22"/>
        <v>NORMAL</v>
      </c>
      <c r="J707" s="4" t="str">
        <f t="shared" si="23"/>
        <v>8</v>
      </c>
    </row>
    <row r="708" spans="1:10">
      <c r="A708" s="2">
        <v>707</v>
      </c>
      <c r="B708" s="3">
        <v>46254</v>
      </c>
      <c r="C708" s="2">
        <v>4</v>
      </c>
      <c r="D708" s="2">
        <v>1</v>
      </c>
      <c r="E708" s="2">
        <v>79.9</v>
      </c>
      <c r="F708" s="2">
        <v>1998</v>
      </c>
      <c r="G708" t="str">
        <f>_xlfn.XLOOKUP(C708,products!A:A,products!B:B)</f>
        <v>Watermelon</v>
      </c>
      <c r="H708" t="str">
        <f>_xlfn.XLOOKUP(D708,stores!A:A,stores!B:B)</f>
        <v>Bitola</v>
      </c>
      <c r="I708" t="str">
        <f t="shared" si="22"/>
        <v>BIG</v>
      </c>
      <c r="J708" s="4" t="str">
        <f t="shared" si="23"/>
        <v>8</v>
      </c>
    </row>
    <row r="709" spans="1:10">
      <c r="A709" s="2">
        <v>708</v>
      </c>
      <c r="B709" s="3">
        <v>46254</v>
      </c>
      <c r="C709" s="2">
        <v>4</v>
      </c>
      <c r="D709" s="2">
        <v>2</v>
      </c>
      <c r="E709" s="2">
        <v>88.9</v>
      </c>
      <c r="F709" s="2">
        <v>2222</v>
      </c>
      <c r="G709" t="str">
        <f>_xlfn.XLOOKUP(C709,products!A:A,products!B:B)</f>
        <v>Watermelon</v>
      </c>
      <c r="H709" t="str">
        <f>_xlfn.XLOOKUP(D709,stores!A:A,stores!B:B)</f>
        <v>Ohrid</v>
      </c>
      <c r="I709" t="str">
        <f t="shared" si="22"/>
        <v>BIG</v>
      </c>
      <c r="J709" s="4" t="str">
        <f t="shared" si="23"/>
        <v>8</v>
      </c>
    </row>
    <row r="710" spans="1:10">
      <c r="A710" s="2">
        <v>709</v>
      </c>
      <c r="B710" s="3">
        <v>46254</v>
      </c>
      <c r="C710" s="2">
        <v>5</v>
      </c>
      <c r="D710" s="2">
        <v>1</v>
      </c>
      <c r="E710" s="2">
        <v>14.6</v>
      </c>
      <c r="F710" s="2">
        <v>1606</v>
      </c>
      <c r="G710" t="str">
        <f>_xlfn.XLOOKUP(C710,products!A:A,products!B:B)</f>
        <v>Grapes</v>
      </c>
      <c r="H710" t="str">
        <f>_xlfn.XLOOKUP(D710,stores!A:A,stores!B:B)</f>
        <v>Bitola</v>
      </c>
      <c r="I710" t="str">
        <f t="shared" si="22"/>
        <v>NORMAL</v>
      </c>
      <c r="J710" s="4" t="str">
        <f t="shared" si="23"/>
        <v>8</v>
      </c>
    </row>
    <row r="711" spans="1:10">
      <c r="A711" s="2">
        <v>710</v>
      </c>
      <c r="B711" s="3">
        <v>46254</v>
      </c>
      <c r="C711" s="2">
        <v>5</v>
      </c>
      <c r="D711" s="2">
        <v>2</v>
      </c>
      <c r="E711" s="2">
        <v>24.8</v>
      </c>
      <c r="F711" s="2">
        <v>2728</v>
      </c>
      <c r="G711" t="str">
        <f>_xlfn.XLOOKUP(C711,products!A:A,products!B:B)</f>
        <v>Grapes</v>
      </c>
      <c r="H711" t="str">
        <f>_xlfn.XLOOKUP(D711,stores!A:A,stores!B:B)</f>
        <v>Ohrid</v>
      </c>
      <c r="I711" t="str">
        <f t="shared" si="22"/>
        <v>NORMAL</v>
      </c>
      <c r="J711" s="4" t="str">
        <f t="shared" si="23"/>
        <v>8</v>
      </c>
    </row>
    <row r="712" spans="1:10">
      <c r="A712" s="2">
        <v>711</v>
      </c>
      <c r="B712" s="3">
        <v>46254</v>
      </c>
      <c r="C712" s="2">
        <v>6</v>
      </c>
      <c r="D712" s="2">
        <v>1</v>
      </c>
      <c r="E712" s="2">
        <v>3.5</v>
      </c>
      <c r="F712" s="2">
        <v>770</v>
      </c>
      <c r="G712" t="str">
        <f>_xlfn.XLOOKUP(C712,products!A:A,products!B:B)</f>
        <v>Strawberry</v>
      </c>
      <c r="H712" t="str">
        <f>_xlfn.XLOOKUP(D712,stores!A:A,stores!B:B)</f>
        <v>Bitola</v>
      </c>
      <c r="I712" t="str">
        <f t="shared" si="22"/>
        <v>NORMAL</v>
      </c>
      <c r="J712" s="4" t="str">
        <f t="shared" si="23"/>
        <v>8</v>
      </c>
    </row>
    <row r="713" spans="1:10">
      <c r="A713" s="2">
        <v>712</v>
      </c>
      <c r="B713" s="3">
        <v>46254</v>
      </c>
      <c r="C713" s="2">
        <v>6</v>
      </c>
      <c r="D713" s="2">
        <v>2</v>
      </c>
      <c r="E713" s="2">
        <v>4.3</v>
      </c>
      <c r="F713" s="2">
        <v>946</v>
      </c>
      <c r="G713" t="str">
        <f>_xlfn.XLOOKUP(C713,products!A:A,products!B:B)</f>
        <v>Strawberry</v>
      </c>
      <c r="H713" t="str">
        <f>_xlfn.XLOOKUP(D713,stores!A:A,stores!B:B)</f>
        <v>Ohrid</v>
      </c>
      <c r="I713" t="str">
        <f t="shared" si="22"/>
        <v>NORMAL</v>
      </c>
      <c r="J713" s="4" t="str">
        <f t="shared" si="23"/>
        <v>8</v>
      </c>
    </row>
    <row r="714" spans="1:10">
      <c r="A714" s="2">
        <v>713</v>
      </c>
      <c r="B714" s="3">
        <v>46254</v>
      </c>
      <c r="C714" s="2">
        <v>7</v>
      </c>
      <c r="D714" s="2">
        <v>1</v>
      </c>
      <c r="E714" s="2">
        <v>31.7</v>
      </c>
      <c r="F714" s="2">
        <v>3012</v>
      </c>
      <c r="G714" t="str">
        <f>_xlfn.XLOOKUP(C714,products!A:A,products!B:B)</f>
        <v>Peach</v>
      </c>
      <c r="H714" t="str">
        <f>_xlfn.XLOOKUP(D714,stores!A:A,stores!B:B)</f>
        <v>Bitola</v>
      </c>
      <c r="I714" t="str">
        <f t="shared" si="22"/>
        <v>NORMAL</v>
      </c>
      <c r="J714" s="4" t="str">
        <f t="shared" si="23"/>
        <v>8</v>
      </c>
    </row>
    <row r="715" spans="1:10">
      <c r="A715" s="2">
        <v>714</v>
      </c>
      <c r="B715" s="3">
        <v>46254</v>
      </c>
      <c r="C715" s="2">
        <v>7</v>
      </c>
      <c r="D715" s="2">
        <v>2</v>
      </c>
      <c r="E715" s="2">
        <v>35.8</v>
      </c>
      <c r="F715" s="2">
        <v>3401</v>
      </c>
      <c r="G715" t="str">
        <f>_xlfn.XLOOKUP(C715,products!A:A,products!B:B)</f>
        <v>Peach</v>
      </c>
      <c r="H715" t="str">
        <f>_xlfn.XLOOKUP(D715,stores!A:A,stores!B:B)</f>
        <v>Ohrid</v>
      </c>
      <c r="I715" t="str">
        <f t="shared" si="22"/>
        <v>NORMAL</v>
      </c>
      <c r="J715" s="4" t="str">
        <f t="shared" si="23"/>
        <v>8</v>
      </c>
    </row>
    <row r="716" spans="1:10">
      <c r="A716" s="2">
        <v>715</v>
      </c>
      <c r="B716" s="3">
        <v>46255</v>
      </c>
      <c r="C716" s="2">
        <v>1</v>
      </c>
      <c r="D716" s="2">
        <v>1</v>
      </c>
      <c r="E716" s="2">
        <v>18.4</v>
      </c>
      <c r="F716" s="2">
        <v>1104</v>
      </c>
      <c r="G716" t="str">
        <f>_xlfn.XLOOKUP(C716,products!A:A,products!B:B)</f>
        <v>Apple</v>
      </c>
      <c r="H716" t="str">
        <f>_xlfn.XLOOKUP(D716,stores!A:A,stores!B:B)</f>
        <v>Bitola</v>
      </c>
      <c r="I716" t="str">
        <f t="shared" si="22"/>
        <v>NORMAL</v>
      </c>
      <c r="J716" s="4" t="str">
        <f t="shared" si="23"/>
        <v>8</v>
      </c>
    </row>
    <row r="717" spans="1:10">
      <c r="A717" s="2">
        <v>716</v>
      </c>
      <c r="B717" s="3">
        <v>46255</v>
      </c>
      <c r="C717" s="2">
        <v>1</v>
      </c>
      <c r="D717" s="2">
        <v>2</v>
      </c>
      <c r="E717" s="2">
        <v>30.1</v>
      </c>
      <c r="F717" s="2">
        <v>1806</v>
      </c>
      <c r="G717" t="str">
        <f>_xlfn.XLOOKUP(C717,products!A:A,products!B:B)</f>
        <v>Apple</v>
      </c>
      <c r="H717" t="str">
        <f>_xlfn.XLOOKUP(D717,stores!A:A,stores!B:B)</f>
        <v>Ohrid</v>
      </c>
      <c r="I717" t="str">
        <f t="shared" si="22"/>
        <v>NORMAL</v>
      </c>
      <c r="J717" s="4" t="str">
        <f t="shared" si="23"/>
        <v>8</v>
      </c>
    </row>
    <row r="718" spans="1:10">
      <c r="A718" s="2">
        <v>717</v>
      </c>
      <c r="B718" s="3">
        <v>46255</v>
      </c>
      <c r="C718" s="2">
        <v>2</v>
      </c>
      <c r="D718" s="2">
        <v>1</v>
      </c>
      <c r="E718" s="2">
        <v>28.9</v>
      </c>
      <c r="F718" s="2">
        <v>2601</v>
      </c>
      <c r="G718" t="str">
        <f>_xlfn.XLOOKUP(C718,products!A:A,products!B:B)</f>
        <v>Banana</v>
      </c>
      <c r="H718" t="str">
        <f>_xlfn.XLOOKUP(D718,stores!A:A,stores!B:B)</f>
        <v>Bitola</v>
      </c>
      <c r="I718" t="str">
        <f t="shared" si="22"/>
        <v>NORMAL</v>
      </c>
      <c r="J718" s="4" t="str">
        <f t="shared" si="23"/>
        <v>8</v>
      </c>
    </row>
    <row r="719" spans="1:10">
      <c r="A719" s="2">
        <v>718</v>
      </c>
      <c r="B719" s="3">
        <v>46255</v>
      </c>
      <c r="C719" s="2">
        <v>2</v>
      </c>
      <c r="D719" s="2">
        <v>2</v>
      </c>
      <c r="E719" s="2">
        <v>37.9</v>
      </c>
      <c r="F719" s="2">
        <v>3411</v>
      </c>
      <c r="G719" t="str">
        <f>_xlfn.XLOOKUP(C719,products!A:A,products!B:B)</f>
        <v>Banana</v>
      </c>
      <c r="H719" t="str">
        <f>_xlfn.XLOOKUP(D719,stores!A:A,stores!B:B)</f>
        <v>Ohrid</v>
      </c>
      <c r="I719" t="str">
        <f t="shared" si="22"/>
        <v>NORMAL</v>
      </c>
      <c r="J719" s="4" t="str">
        <f t="shared" si="23"/>
        <v>8</v>
      </c>
    </row>
    <row r="720" spans="1:10">
      <c r="A720" s="2">
        <v>719</v>
      </c>
      <c r="B720" s="3">
        <v>46255</v>
      </c>
      <c r="C720" s="2">
        <v>3</v>
      </c>
      <c r="D720" s="2">
        <v>1</v>
      </c>
      <c r="E720" s="2">
        <v>8.4</v>
      </c>
      <c r="F720" s="2">
        <v>672</v>
      </c>
      <c r="G720" t="str">
        <f>_xlfn.XLOOKUP(C720,products!A:A,products!B:B)</f>
        <v>Orange</v>
      </c>
      <c r="H720" t="str">
        <f>_xlfn.XLOOKUP(D720,stores!A:A,stores!B:B)</f>
        <v>Bitola</v>
      </c>
      <c r="I720" t="str">
        <f t="shared" si="22"/>
        <v>NORMAL</v>
      </c>
      <c r="J720" s="4" t="str">
        <f t="shared" si="23"/>
        <v>8</v>
      </c>
    </row>
    <row r="721" spans="1:10">
      <c r="A721" s="2">
        <v>720</v>
      </c>
      <c r="B721" s="3">
        <v>46255</v>
      </c>
      <c r="C721" s="2">
        <v>3</v>
      </c>
      <c r="D721" s="2">
        <v>2</v>
      </c>
      <c r="E721" s="2">
        <v>15.3</v>
      </c>
      <c r="F721" s="2">
        <v>1224</v>
      </c>
      <c r="G721" t="str">
        <f>_xlfn.XLOOKUP(C721,products!A:A,products!B:B)</f>
        <v>Orange</v>
      </c>
      <c r="H721" t="str">
        <f>_xlfn.XLOOKUP(D721,stores!A:A,stores!B:B)</f>
        <v>Ohrid</v>
      </c>
      <c r="I721" t="str">
        <f t="shared" si="22"/>
        <v>NORMAL</v>
      </c>
      <c r="J721" s="4" t="str">
        <f t="shared" si="23"/>
        <v>8</v>
      </c>
    </row>
    <row r="722" spans="1:10">
      <c r="A722" s="2">
        <v>721</v>
      </c>
      <c r="B722" s="3">
        <v>46255</v>
      </c>
      <c r="C722" s="2">
        <v>4</v>
      </c>
      <c r="D722" s="2">
        <v>1</v>
      </c>
      <c r="E722" s="2">
        <v>114.4</v>
      </c>
      <c r="F722" s="2">
        <v>2860</v>
      </c>
      <c r="G722" t="str">
        <f>_xlfn.XLOOKUP(C722,products!A:A,products!B:B)</f>
        <v>Watermelon</v>
      </c>
      <c r="H722" t="str">
        <f>_xlfn.XLOOKUP(D722,stores!A:A,stores!B:B)</f>
        <v>Bitola</v>
      </c>
      <c r="I722" t="str">
        <f t="shared" si="22"/>
        <v>BIG</v>
      </c>
      <c r="J722" s="4" t="str">
        <f t="shared" si="23"/>
        <v>8</v>
      </c>
    </row>
    <row r="723" spans="1:10">
      <c r="A723" s="2">
        <v>722</v>
      </c>
      <c r="B723" s="3">
        <v>46255</v>
      </c>
      <c r="C723" s="2">
        <v>4</v>
      </c>
      <c r="D723" s="2">
        <v>2</v>
      </c>
      <c r="E723" s="2">
        <v>153.3</v>
      </c>
      <c r="F723" s="2">
        <v>3833</v>
      </c>
      <c r="G723" t="str">
        <f>_xlfn.XLOOKUP(C723,products!A:A,products!B:B)</f>
        <v>Watermelon</v>
      </c>
      <c r="H723" t="str">
        <f>_xlfn.XLOOKUP(D723,stores!A:A,stores!B:B)</f>
        <v>Ohrid</v>
      </c>
      <c r="I723" t="str">
        <f t="shared" si="22"/>
        <v>BIG</v>
      </c>
      <c r="J723" s="4" t="str">
        <f t="shared" si="23"/>
        <v>8</v>
      </c>
    </row>
    <row r="724" spans="1:10">
      <c r="A724" s="2">
        <v>723</v>
      </c>
      <c r="B724" s="3">
        <v>46255</v>
      </c>
      <c r="C724" s="2">
        <v>5</v>
      </c>
      <c r="D724" s="2">
        <v>1</v>
      </c>
      <c r="E724" s="2">
        <v>17</v>
      </c>
      <c r="F724" s="2">
        <v>1870</v>
      </c>
      <c r="G724" t="str">
        <f>_xlfn.XLOOKUP(C724,products!A:A,products!B:B)</f>
        <v>Grapes</v>
      </c>
      <c r="H724" t="str">
        <f>_xlfn.XLOOKUP(D724,stores!A:A,stores!B:B)</f>
        <v>Bitola</v>
      </c>
      <c r="I724" t="str">
        <f t="shared" si="22"/>
        <v>NORMAL</v>
      </c>
      <c r="J724" s="4" t="str">
        <f t="shared" si="23"/>
        <v>8</v>
      </c>
    </row>
    <row r="725" spans="1:10">
      <c r="A725" s="2">
        <v>724</v>
      </c>
      <c r="B725" s="3">
        <v>46255</v>
      </c>
      <c r="C725" s="2">
        <v>5</v>
      </c>
      <c r="D725" s="2">
        <v>2</v>
      </c>
      <c r="E725" s="2">
        <v>17.4</v>
      </c>
      <c r="F725" s="2">
        <v>1914</v>
      </c>
      <c r="G725" t="str">
        <f>_xlfn.XLOOKUP(C725,products!A:A,products!B:B)</f>
        <v>Grapes</v>
      </c>
      <c r="H725" t="str">
        <f>_xlfn.XLOOKUP(D725,stores!A:A,stores!B:B)</f>
        <v>Ohrid</v>
      </c>
      <c r="I725" t="str">
        <f t="shared" si="22"/>
        <v>NORMAL</v>
      </c>
      <c r="J725" s="4" t="str">
        <f t="shared" si="23"/>
        <v>8</v>
      </c>
    </row>
    <row r="726" spans="1:10">
      <c r="A726" s="2">
        <v>725</v>
      </c>
      <c r="B726" s="3">
        <v>46255</v>
      </c>
      <c r="C726" s="2">
        <v>6</v>
      </c>
      <c r="D726" s="2">
        <v>1</v>
      </c>
      <c r="E726" s="2">
        <v>7</v>
      </c>
      <c r="F726" s="2">
        <v>1540</v>
      </c>
      <c r="G726" t="str">
        <f>_xlfn.XLOOKUP(C726,products!A:A,products!B:B)</f>
        <v>Strawberry</v>
      </c>
      <c r="H726" t="str">
        <f>_xlfn.XLOOKUP(D726,stores!A:A,stores!B:B)</f>
        <v>Bitola</v>
      </c>
      <c r="I726" t="str">
        <f t="shared" si="22"/>
        <v>NORMAL</v>
      </c>
      <c r="J726" s="4" t="str">
        <f t="shared" si="23"/>
        <v>8</v>
      </c>
    </row>
    <row r="727" spans="1:10">
      <c r="A727" s="2">
        <v>726</v>
      </c>
      <c r="B727" s="3">
        <v>46255</v>
      </c>
      <c r="C727" s="2">
        <v>6</v>
      </c>
      <c r="D727" s="2">
        <v>2</v>
      </c>
      <c r="E727" s="2">
        <v>4.6</v>
      </c>
      <c r="F727" s="2">
        <v>1012</v>
      </c>
      <c r="G727" t="str">
        <f>_xlfn.XLOOKUP(C727,products!A:A,products!B:B)</f>
        <v>Strawberry</v>
      </c>
      <c r="H727" t="str">
        <f>_xlfn.XLOOKUP(D727,stores!A:A,stores!B:B)</f>
        <v>Ohrid</v>
      </c>
      <c r="I727" t="str">
        <f t="shared" si="22"/>
        <v>NORMAL</v>
      </c>
      <c r="J727" s="4" t="str">
        <f t="shared" si="23"/>
        <v>8</v>
      </c>
    </row>
    <row r="728" spans="1:10">
      <c r="A728" s="2">
        <v>727</v>
      </c>
      <c r="B728" s="3">
        <v>46255</v>
      </c>
      <c r="C728" s="2">
        <v>7</v>
      </c>
      <c r="D728" s="2">
        <v>1</v>
      </c>
      <c r="E728" s="2">
        <v>24.1</v>
      </c>
      <c r="F728" s="2">
        <v>2290</v>
      </c>
      <c r="G728" t="str">
        <f>_xlfn.XLOOKUP(C728,products!A:A,products!B:B)</f>
        <v>Peach</v>
      </c>
      <c r="H728" t="str">
        <f>_xlfn.XLOOKUP(D728,stores!A:A,stores!B:B)</f>
        <v>Bitola</v>
      </c>
      <c r="I728" t="str">
        <f t="shared" si="22"/>
        <v>NORMAL</v>
      </c>
      <c r="J728" s="4" t="str">
        <f t="shared" si="23"/>
        <v>8</v>
      </c>
    </row>
    <row r="729" spans="1:10">
      <c r="A729" s="2">
        <v>728</v>
      </c>
      <c r="B729" s="3">
        <v>46255</v>
      </c>
      <c r="C729" s="2">
        <v>7</v>
      </c>
      <c r="D729" s="2">
        <v>2</v>
      </c>
      <c r="E729" s="2">
        <v>33.5</v>
      </c>
      <c r="F729" s="2">
        <v>3182</v>
      </c>
      <c r="G729" t="str">
        <f>_xlfn.XLOOKUP(C729,products!A:A,products!B:B)</f>
        <v>Peach</v>
      </c>
      <c r="H729" t="str">
        <f>_xlfn.XLOOKUP(D729,stores!A:A,stores!B:B)</f>
        <v>Ohrid</v>
      </c>
      <c r="I729" t="str">
        <f t="shared" si="22"/>
        <v>NORMAL</v>
      </c>
      <c r="J729" s="4" t="str">
        <f t="shared" si="23"/>
        <v>8</v>
      </c>
    </row>
    <row r="730" spans="1:10">
      <c r="A730" s="2">
        <v>729</v>
      </c>
      <c r="B730" s="3">
        <v>46256</v>
      </c>
      <c r="C730" s="2">
        <v>1</v>
      </c>
      <c r="D730" s="2">
        <v>1</v>
      </c>
      <c r="E730" s="2">
        <v>33.1</v>
      </c>
      <c r="F730" s="2">
        <v>1986</v>
      </c>
      <c r="G730" t="str">
        <f>_xlfn.XLOOKUP(C730,products!A:A,products!B:B)</f>
        <v>Apple</v>
      </c>
      <c r="H730" t="str">
        <f>_xlfn.XLOOKUP(D730,stores!A:A,stores!B:B)</f>
        <v>Bitola</v>
      </c>
      <c r="I730" t="str">
        <f t="shared" si="22"/>
        <v>NORMAL</v>
      </c>
      <c r="J730" s="4" t="str">
        <f t="shared" si="23"/>
        <v>8</v>
      </c>
    </row>
    <row r="731" spans="1:10">
      <c r="A731" s="2">
        <v>730</v>
      </c>
      <c r="B731" s="3">
        <v>46256</v>
      </c>
      <c r="C731" s="2">
        <v>1</v>
      </c>
      <c r="D731" s="2">
        <v>2</v>
      </c>
      <c r="E731" s="2">
        <v>40.7</v>
      </c>
      <c r="F731" s="2">
        <v>2442</v>
      </c>
      <c r="G731" t="str">
        <f>_xlfn.XLOOKUP(C731,products!A:A,products!B:B)</f>
        <v>Apple</v>
      </c>
      <c r="H731" t="str">
        <f>_xlfn.XLOOKUP(D731,stores!A:A,stores!B:B)</f>
        <v>Ohrid</v>
      </c>
      <c r="I731" t="str">
        <f t="shared" si="22"/>
        <v>NORMAL</v>
      </c>
      <c r="J731" s="4" t="str">
        <f t="shared" si="23"/>
        <v>8</v>
      </c>
    </row>
    <row r="732" spans="1:10">
      <c r="A732" s="2">
        <v>731</v>
      </c>
      <c r="B732" s="3">
        <v>46256</v>
      </c>
      <c r="C732" s="2">
        <v>2</v>
      </c>
      <c r="D732" s="2">
        <v>1</v>
      </c>
      <c r="E732" s="2">
        <v>21.4</v>
      </c>
      <c r="F732" s="2">
        <v>1926</v>
      </c>
      <c r="G732" t="str">
        <f>_xlfn.XLOOKUP(C732,products!A:A,products!B:B)</f>
        <v>Banana</v>
      </c>
      <c r="H732" t="str">
        <f>_xlfn.XLOOKUP(D732,stores!A:A,stores!B:B)</f>
        <v>Bitola</v>
      </c>
      <c r="I732" t="str">
        <f t="shared" si="22"/>
        <v>NORMAL</v>
      </c>
      <c r="J732" s="4" t="str">
        <f t="shared" si="23"/>
        <v>8</v>
      </c>
    </row>
    <row r="733" spans="1:10">
      <c r="A733" s="2">
        <v>732</v>
      </c>
      <c r="B733" s="3">
        <v>46256</v>
      </c>
      <c r="C733" s="2">
        <v>2</v>
      </c>
      <c r="D733" s="2">
        <v>2</v>
      </c>
      <c r="E733" s="2">
        <v>47.4</v>
      </c>
      <c r="F733" s="2">
        <v>4266</v>
      </c>
      <c r="G733" t="str">
        <f>_xlfn.XLOOKUP(C733,products!A:A,products!B:B)</f>
        <v>Banana</v>
      </c>
      <c r="H733" t="str">
        <f>_xlfn.XLOOKUP(D733,stores!A:A,stores!B:B)</f>
        <v>Ohrid</v>
      </c>
      <c r="I733" t="str">
        <f t="shared" si="22"/>
        <v>NORMAL</v>
      </c>
      <c r="J733" s="4" t="str">
        <f t="shared" si="23"/>
        <v>8</v>
      </c>
    </row>
    <row r="734" spans="1:10">
      <c r="A734" s="2">
        <v>733</v>
      </c>
      <c r="B734" s="3">
        <v>46256</v>
      </c>
      <c r="C734" s="2">
        <v>3</v>
      </c>
      <c r="D734" s="2">
        <v>1</v>
      </c>
      <c r="E734" s="2">
        <v>12.5</v>
      </c>
      <c r="F734" s="2">
        <v>1000</v>
      </c>
      <c r="G734" t="str">
        <f>_xlfn.XLOOKUP(C734,products!A:A,products!B:B)</f>
        <v>Orange</v>
      </c>
      <c r="H734" t="str">
        <f>_xlfn.XLOOKUP(D734,stores!A:A,stores!B:B)</f>
        <v>Bitola</v>
      </c>
      <c r="I734" t="str">
        <f t="shared" si="22"/>
        <v>NORMAL</v>
      </c>
      <c r="J734" s="4" t="str">
        <f t="shared" si="23"/>
        <v>8</v>
      </c>
    </row>
    <row r="735" spans="1:10">
      <c r="A735" s="2">
        <v>734</v>
      </c>
      <c r="B735" s="3">
        <v>46256</v>
      </c>
      <c r="C735" s="2">
        <v>3</v>
      </c>
      <c r="D735" s="2">
        <v>2</v>
      </c>
      <c r="E735" s="2">
        <v>15.8</v>
      </c>
      <c r="F735" s="2">
        <v>1264</v>
      </c>
      <c r="G735" t="str">
        <f>_xlfn.XLOOKUP(C735,products!A:A,products!B:B)</f>
        <v>Orange</v>
      </c>
      <c r="H735" t="str">
        <f>_xlfn.XLOOKUP(D735,stores!A:A,stores!B:B)</f>
        <v>Ohrid</v>
      </c>
      <c r="I735" t="str">
        <f t="shared" si="22"/>
        <v>NORMAL</v>
      </c>
      <c r="J735" s="4" t="str">
        <f t="shared" si="23"/>
        <v>8</v>
      </c>
    </row>
    <row r="736" spans="1:10">
      <c r="A736" s="2">
        <v>735</v>
      </c>
      <c r="B736" s="3">
        <v>46256</v>
      </c>
      <c r="C736" s="2">
        <v>4</v>
      </c>
      <c r="D736" s="2">
        <v>1</v>
      </c>
      <c r="E736" s="2">
        <v>75.6</v>
      </c>
      <c r="F736" s="2">
        <v>1890</v>
      </c>
      <c r="G736" t="str">
        <f>_xlfn.XLOOKUP(C736,products!A:A,products!B:B)</f>
        <v>Watermelon</v>
      </c>
      <c r="H736" t="str">
        <f>_xlfn.XLOOKUP(D736,stores!A:A,stores!B:B)</f>
        <v>Bitola</v>
      </c>
      <c r="I736" t="str">
        <f t="shared" si="22"/>
        <v>BIG</v>
      </c>
      <c r="J736" s="4" t="str">
        <f t="shared" si="23"/>
        <v>8</v>
      </c>
    </row>
    <row r="737" spans="1:10">
      <c r="A737" s="2">
        <v>736</v>
      </c>
      <c r="B737" s="3">
        <v>46256</v>
      </c>
      <c r="C737" s="2">
        <v>4</v>
      </c>
      <c r="D737" s="2">
        <v>2</v>
      </c>
      <c r="E737" s="2">
        <v>128.2</v>
      </c>
      <c r="F737" s="2">
        <v>3205</v>
      </c>
      <c r="G737" t="str">
        <f>_xlfn.XLOOKUP(C737,products!A:A,products!B:B)</f>
        <v>Watermelon</v>
      </c>
      <c r="H737" t="str">
        <f>_xlfn.XLOOKUP(D737,stores!A:A,stores!B:B)</f>
        <v>Ohrid</v>
      </c>
      <c r="I737" t="str">
        <f t="shared" si="22"/>
        <v>BIG</v>
      </c>
      <c r="J737" s="4" t="str">
        <f t="shared" si="23"/>
        <v>8</v>
      </c>
    </row>
    <row r="738" spans="1:10">
      <c r="A738" s="2">
        <v>737</v>
      </c>
      <c r="B738" s="3">
        <v>46256</v>
      </c>
      <c r="C738" s="2">
        <v>5</v>
      </c>
      <c r="D738" s="2">
        <v>1</v>
      </c>
      <c r="E738" s="2">
        <v>17.1</v>
      </c>
      <c r="F738" s="2">
        <v>1881</v>
      </c>
      <c r="G738" t="str">
        <f>_xlfn.XLOOKUP(C738,products!A:A,products!B:B)</f>
        <v>Grapes</v>
      </c>
      <c r="H738" t="str">
        <f>_xlfn.XLOOKUP(D738,stores!A:A,stores!B:B)</f>
        <v>Bitola</v>
      </c>
      <c r="I738" t="str">
        <f t="shared" si="22"/>
        <v>NORMAL</v>
      </c>
      <c r="J738" s="4" t="str">
        <f t="shared" si="23"/>
        <v>8</v>
      </c>
    </row>
    <row r="739" spans="1:10">
      <c r="A739" s="2">
        <v>738</v>
      </c>
      <c r="B739" s="3">
        <v>46256</v>
      </c>
      <c r="C739" s="2">
        <v>5</v>
      </c>
      <c r="D739" s="2">
        <v>2</v>
      </c>
      <c r="E739" s="2">
        <v>28.3</v>
      </c>
      <c r="F739" s="2">
        <v>3113</v>
      </c>
      <c r="G739" t="str">
        <f>_xlfn.XLOOKUP(C739,products!A:A,products!B:B)</f>
        <v>Grapes</v>
      </c>
      <c r="H739" t="str">
        <f>_xlfn.XLOOKUP(D739,stores!A:A,stores!B:B)</f>
        <v>Ohrid</v>
      </c>
      <c r="I739" t="str">
        <f t="shared" si="22"/>
        <v>NORMAL</v>
      </c>
      <c r="J739" s="4" t="str">
        <f t="shared" si="23"/>
        <v>8</v>
      </c>
    </row>
    <row r="740" spans="1:10">
      <c r="A740" s="2">
        <v>739</v>
      </c>
      <c r="B740" s="3">
        <v>46256</v>
      </c>
      <c r="C740" s="2">
        <v>6</v>
      </c>
      <c r="D740" s="2">
        <v>1</v>
      </c>
      <c r="E740" s="2">
        <v>4.5</v>
      </c>
      <c r="F740" s="2">
        <v>990</v>
      </c>
      <c r="G740" t="str">
        <f>_xlfn.XLOOKUP(C740,products!A:A,products!B:B)</f>
        <v>Strawberry</v>
      </c>
      <c r="H740" t="str">
        <f>_xlfn.XLOOKUP(D740,stores!A:A,stores!B:B)</f>
        <v>Bitola</v>
      </c>
      <c r="I740" t="str">
        <f t="shared" si="22"/>
        <v>NORMAL</v>
      </c>
      <c r="J740" s="4" t="str">
        <f t="shared" si="23"/>
        <v>8</v>
      </c>
    </row>
    <row r="741" spans="1:10">
      <c r="A741" s="2">
        <v>740</v>
      </c>
      <c r="B741" s="3">
        <v>46256</v>
      </c>
      <c r="C741" s="2">
        <v>6</v>
      </c>
      <c r="D741" s="2">
        <v>2</v>
      </c>
      <c r="E741" s="2">
        <v>8.6</v>
      </c>
      <c r="F741" s="2">
        <v>1892</v>
      </c>
      <c r="G741" t="str">
        <f>_xlfn.XLOOKUP(C741,products!A:A,products!B:B)</f>
        <v>Strawberry</v>
      </c>
      <c r="H741" t="str">
        <f>_xlfn.XLOOKUP(D741,stores!A:A,stores!B:B)</f>
        <v>Ohrid</v>
      </c>
      <c r="I741" t="str">
        <f t="shared" si="22"/>
        <v>NORMAL</v>
      </c>
      <c r="J741" s="4" t="str">
        <f t="shared" si="23"/>
        <v>8</v>
      </c>
    </row>
    <row r="742" spans="1:10">
      <c r="A742" s="2">
        <v>741</v>
      </c>
      <c r="B742" s="3">
        <v>46256</v>
      </c>
      <c r="C742" s="2">
        <v>7</v>
      </c>
      <c r="D742" s="2">
        <v>1</v>
      </c>
      <c r="E742" s="2">
        <v>26.3</v>
      </c>
      <c r="F742" s="2">
        <v>2498</v>
      </c>
      <c r="G742" t="str">
        <f>_xlfn.XLOOKUP(C742,products!A:A,products!B:B)</f>
        <v>Peach</v>
      </c>
      <c r="H742" t="str">
        <f>_xlfn.XLOOKUP(D742,stores!A:A,stores!B:B)</f>
        <v>Bitola</v>
      </c>
      <c r="I742" t="str">
        <f t="shared" si="22"/>
        <v>NORMAL</v>
      </c>
      <c r="J742" s="4" t="str">
        <f t="shared" si="23"/>
        <v>8</v>
      </c>
    </row>
    <row r="743" spans="1:10">
      <c r="A743" s="2">
        <v>742</v>
      </c>
      <c r="B743" s="3">
        <v>46256</v>
      </c>
      <c r="C743" s="2">
        <v>7</v>
      </c>
      <c r="D743" s="2">
        <v>2</v>
      </c>
      <c r="E743" s="2">
        <v>31.9</v>
      </c>
      <c r="F743" s="2">
        <v>3030</v>
      </c>
      <c r="G743" t="str">
        <f>_xlfn.XLOOKUP(C743,products!A:A,products!B:B)</f>
        <v>Peach</v>
      </c>
      <c r="H743" t="str">
        <f>_xlfn.XLOOKUP(D743,stores!A:A,stores!B:B)</f>
        <v>Ohrid</v>
      </c>
      <c r="I743" t="str">
        <f t="shared" si="22"/>
        <v>NORMAL</v>
      </c>
      <c r="J743" s="4" t="str">
        <f t="shared" si="23"/>
        <v>8</v>
      </c>
    </row>
    <row r="744" spans="1:10">
      <c r="A744" s="2">
        <v>743</v>
      </c>
      <c r="B744" s="3">
        <v>46257</v>
      </c>
      <c r="C744" s="2">
        <v>1</v>
      </c>
      <c r="D744" s="2">
        <v>1</v>
      </c>
      <c r="E744" s="2">
        <v>21.3</v>
      </c>
      <c r="F744" s="2">
        <v>1278</v>
      </c>
      <c r="G744" t="str">
        <f>_xlfn.XLOOKUP(C744,products!A:A,products!B:B)</f>
        <v>Apple</v>
      </c>
      <c r="H744" t="str">
        <f>_xlfn.XLOOKUP(D744,stores!A:A,stores!B:B)</f>
        <v>Bitola</v>
      </c>
      <c r="I744" t="str">
        <f t="shared" si="22"/>
        <v>NORMAL</v>
      </c>
      <c r="J744" s="4" t="str">
        <f t="shared" si="23"/>
        <v>8</v>
      </c>
    </row>
    <row r="745" spans="1:10">
      <c r="A745" s="2">
        <v>744</v>
      </c>
      <c r="B745" s="3">
        <v>46257</v>
      </c>
      <c r="C745" s="2">
        <v>1</v>
      </c>
      <c r="D745" s="2">
        <v>2</v>
      </c>
      <c r="E745" s="2">
        <v>47.6</v>
      </c>
      <c r="F745" s="2">
        <v>2856</v>
      </c>
      <c r="G745" t="str">
        <f>_xlfn.XLOOKUP(C745,products!A:A,products!B:B)</f>
        <v>Apple</v>
      </c>
      <c r="H745" t="str">
        <f>_xlfn.XLOOKUP(D745,stores!A:A,stores!B:B)</f>
        <v>Ohrid</v>
      </c>
      <c r="I745" t="str">
        <f t="shared" si="22"/>
        <v>NORMAL</v>
      </c>
      <c r="J745" s="4" t="str">
        <f t="shared" si="23"/>
        <v>8</v>
      </c>
    </row>
    <row r="746" spans="1:10">
      <c r="A746" s="2">
        <v>745</v>
      </c>
      <c r="B746" s="3">
        <v>46257</v>
      </c>
      <c r="C746" s="2">
        <v>2</v>
      </c>
      <c r="D746" s="2">
        <v>1</v>
      </c>
      <c r="E746" s="2">
        <v>26.6</v>
      </c>
      <c r="F746" s="2">
        <v>2394</v>
      </c>
      <c r="G746" t="str">
        <f>_xlfn.XLOOKUP(C746,products!A:A,products!B:B)</f>
        <v>Banana</v>
      </c>
      <c r="H746" t="str">
        <f>_xlfn.XLOOKUP(D746,stores!A:A,stores!B:B)</f>
        <v>Bitola</v>
      </c>
      <c r="I746" t="str">
        <f t="shared" si="22"/>
        <v>NORMAL</v>
      </c>
      <c r="J746" s="4" t="str">
        <f t="shared" si="23"/>
        <v>8</v>
      </c>
    </row>
    <row r="747" spans="1:10">
      <c r="A747" s="2">
        <v>746</v>
      </c>
      <c r="B747" s="3">
        <v>46257</v>
      </c>
      <c r="C747" s="2">
        <v>2</v>
      </c>
      <c r="D747" s="2">
        <v>2</v>
      </c>
      <c r="E747" s="2">
        <v>66.1</v>
      </c>
      <c r="F747" s="2">
        <v>5949</v>
      </c>
      <c r="G747" t="str">
        <f>_xlfn.XLOOKUP(C747,products!A:A,products!B:B)</f>
        <v>Banana</v>
      </c>
      <c r="H747" t="str">
        <f>_xlfn.XLOOKUP(D747,stores!A:A,stores!B:B)</f>
        <v>Ohrid</v>
      </c>
      <c r="I747" t="str">
        <f t="shared" si="22"/>
        <v>BIG</v>
      </c>
      <c r="J747" s="4" t="str">
        <f t="shared" si="23"/>
        <v>8</v>
      </c>
    </row>
    <row r="748" spans="1:10">
      <c r="A748" s="2">
        <v>747</v>
      </c>
      <c r="B748" s="3">
        <v>46257</v>
      </c>
      <c r="C748" s="2">
        <v>3</v>
      </c>
      <c r="D748" s="2">
        <v>1</v>
      </c>
      <c r="E748" s="2">
        <v>12.4</v>
      </c>
      <c r="F748" s="2">
        <v>992</v>
      </c>
      <c r="G748" t="str">
        <f>_xlfn.XLOOKUP(C748,products!A:A,products!B:B)</f>
        <v>Orange</v>
      </c>
      <c r="H748" t="str">
        <f>_xlfn.XLOOKUP(D748,stores!A:A,stores!B:B)</f>
        <v>Bitola</v>
      </c>
      <c r="I748" t="str">
        <f t="shared" si="22"/>
        <v>NORMAL</v>
      </c>
      <c r="J748" s="4" t="str">
        <f t="shared" si="23"/>
        <v>8</v>
      </c>
    </row>
    <row r="749" spans="1:10">
      <c r="A749" s="2">
        <v>748</v>
      </c>
      <c r="B749" s="3">
        <v>46257</v>
      </c>
      <c r="C749" s="2">
        <v>3</v>
      </c>
      <c r="D749" s="2">
        <v>2</v>
      </c>
      <c r="E749" s="2">
        <v>12.9</v>
      </c>
      <c r="F749" s="2">
        <v>1032</v>
      </c>
      <c r="G749" t="str">
        <f>_xlfn.XLOOKUP(C749,products!A:A,products!B:B)</f>
        <v>Orange</v>
      </c>
      <c r="H749" t="str">
        <f>_xlfn.XLOOKUP(D749,stores!A:A,stores!B:B)</f>
        <v>Ohrid</v>
      </c>
      <c r="I749" t="str">
        <f t="shared" si="22"/>
        <v>NORMAL</v>
      </c>
      <c r="J749" s="4" t="str">
        <f t="shared" si="23"/>
        <v>8</v>
      </c>
    </row>
    <row r="750" spans="1:10">
      <c r="A750" s="2">
        <v>749</v>
      </c>
      <c r="B750" s="3">
        <v>46257</v>
      </c>
      <c r="C750" s="2">
        <v>4</v>
      </c>
      <c r="D750" s="2">
        <v>1</v>
      </c>
      <c r="E750" s="2">
        <v>83.3</v>
      </c>
      <c r="F750" s="2">
        <v>2082</v>
      </c>
      <c r="G750" t="str">
        <f>_xlfn.XLOOKUP(C750,products!A:A,products!B:B)</f>
        <v>Watermelon</v>
      </c>
      <c r="H750" t="str">
        <f>_xlfn.XLOOKUP(D750,stores!A:A,stores!B:B)</f>
        <v>Bitola</v>
      </c>
      <c r="I750" t="str">
        <f t="shared" si="22"/>
        <v>BIG</v>
      </c>
      <c r="J750" s="4" t="str">
        <f t="shared" si="23"/>
        <v>8</v>
      </c>
    </row>
    <row r="751" spans="1:10">
      <c r="A751" s="2">
        <v>750</v>
      </c>
      <c r="B751" s="3">
        <v>46257</v>
      </c>
      <c r="C751" s="2">
        <v>4</v>
      </c>
      <c r="D751" s="2">
        <v>2</v>
      </c>
      <c r="E751" s="2">
        <v>157.3</v>
      </c>
      <c r="F751" s="2">
        <v>3933</v>
      </c>
      <c r="G751" t="str">
        <f>_xlfn.XLOOKUP(C751,products!A:A,products!B:B)</f>
        <v>Watermelon</v>
      </c>
      <c r="H751" t="str">
        <f>_xlfn.XLOOKUP(D751,stores!A:A,stores!B:B)</f>
        <v>Ohrid</v>
      </c>
      <c r="I751" t="str">
        <f t="shared" si="22"/>
        <v>BIG</v>
      </c>
      <c r="J751" s="4" t="str">
        <f t="shared" si="23"/>
        <v>8</v>
      </c>
    </row>
    <row r="752" spans="1:10">
      <c r="A752" s="2">
        <v>751</v>
      </c>
      <c r="B752" s="3">
        <v>46257</v>
      </c>
      <c r="C752" s="2">
        <v>5</v>
      </c>
      <c r="D752" s="2">
        <v>1</v>
      </c>
      <c r="E752" s="2">
        <v>14.3</v>
      </c>
      <c r="F752" s="2">
        <v>1573</v>
      </c>
      <c r="G752" t="str">
        <f>_xlfn.XLOOKUP(C752,products!A:A,products!B:B)</f>
        <v>Grapes</v>
      </c>
      <c r="H752" t="str">
        <f>_xlfn.XLOOKUP(D752,stores!A:A,stores!B:B)</f>
        <v>Bitola</v>
      </c>
      <c r="I752" t="str">
        <f t="shared" si="22"/>
        <v>NORMAL</v>
      </c>
      <c r="J752" s="4" t="str">
        <f t="shared" si="23"/>
        <v>8</v>
      </c>
    </row>
    <row r="753" spans="1:10">
      <c r="A753" s="2">
        <v>752</v>
      </c>
      <c r="B753" s="3">
        <v>46257</v>
      </c>
      <c r="C753" s="2">
        <v>5</v>
      </c>
      <c r="D753" s="2">
        <v>2</v>
      </c>
      <c r="E753" s="2">
        <v>41.5</v>
      </c>
      <c r="F753" s="2">
        <v>4565</v>
      </c>
      <c r="G753" t="str">
        <f>_xlfn.XLOOKUP(C753,products!A:A,products!B:B)</f>
        <v>Grapes</v>
      </c>
      <c r="H753" t="str">
        <f>_xlfn.XLOOKUP(D753,stores!A:A,stores!B:B)</f>
        <v>Ohrid</v>
      </c>
      <c r="I753" t="str">
        <f t="shared" si="22"/>
        <v>NORMAL</v>
      </c>
      <c r="J753" s="4" t="str">
        <f t="shared" si="23"/>
        <v>8</v>
      </c>
    </row>
    <row r="754" spans="1:10">
      <c r="A754" s="2">
        <v>753</v>
      </c>
      <c r="B754" s="3">
        <v>46257</v>
      </c>
      <c r="C754" s="2">
        <v>6</v>
      </c>
      <c r="D754" s="2">
        <v>1</v>
      </c>
      <c r="E754" s="2">
        <v>4</v>
      </c>
      <c r="F754" s="2">
        <v>880</v>
      </c>
      <c r="G754" t="str">
        <f>_xlfn.XLOOKUP(C754,products!A:A,products!B:B)</f>
        <v>Strawberry</v>
      </c>
      <c r="H754" t="str">
        <f>_xlfn.XLOOKUP(D754,stores!A:A,stores!B:B)</f>
        <v>Bitola</v>
      </c>
      <c r="I754" t="str">
        <f t="shared" si="22"/>
        <v>NORMAL</v>
      </c>
      <c r="J754" s="4" t="str">
        <f t="shared" si="23"/>
        <v>8</v>
      </c>
    </row>
    <row r="755" spans="1:10">
      <c r="A755" s="2">
        <v>754</v>
      </c>
      <c r="B755" s="3">
        <v>46257</v>
      </c>
      <c r="C755" s="2">
        <v>6</v>
      </c>
      <c r="D755" s="2">
        <v>2</v>
      </c>
      <c r="E755" s="2">
        <v>8.5</v>
      </c>
      <c r="F755" s="2">
        <v>1870</v>
      </c>
      <c r="G755" t="str">
        <f>_xlfn.XLOOKUP(C755,products!A:A,products!B:B)</f>
        <v>Strawberry</v>
      </c>
      <c r="H755" t="str">
        <f>_xlfn.XLOOKUP(D755,stores!A:A,stores!B:B)</f>
        <v>Ohrid</v>
      </c>
      <c r="I755" t="str">
        <f t="shared" si="22"/>
        <v>NORMAL</v>
      </c>
      <c r="J755" s="4" t="str">
        <f t="shared" si="23"/>
        <v>8</v>
      </c>
    </row>
    <row r="756" spans="1:10">
      <c r="A756" s="2">
        <v>755</v>
      </c>
      <c r="B756" s="3">
        <v>46257</v>
      </c>
      <c r="C756" s="2">
        <v>7</v>
      </c>
      <c r="D756" s="2">
        <v>1</v>
      </c>
      <c r="E756" s="2">
        <v>42</v>
      </c>
      <c r="F756" s="2">
        <v>3990</v>
      </c>
      <c r="G756" t="str">
        <f>_xlfn.XLOOKUP(C756,products!A:A,products!B:B)</f>
        <v>Peach</v>
      </c>
      <c r="H756" t="str">
        <f>_xlfn.XLOOKUP(D756,stores!A:A,stores!B:B)</f>
        <v>Bitola</v>
      </c>
      <c r="I756" t="str">
        <f t="shared" si="22"/>
        <v>NORMAL</v>
      </c>
      <c r="J756" s="4" t="str">
        <f t="shared" si="23"/>
        <v>8</v>
      </c>
    </row>
    <row r="757" spans="1:10">
      <c r="A757" s="2">
        <v>756</v>
      </c>
      <c r="B757" s="3">
        <v>46257</v>
      </c>
      <c r="C757" s="2">
        <v>7</v>
      </c>
      <c r="D757" s="2">
        <v>2</v>
      </c>
      <c r="E757" s="2">
        <v>47.7</v>
      </c>
      <c r="F757" s="2">
        <v>4532</v>
      </c>
      <c r="G757" t="str">
        <f>_xlfn.XLOOKUP(C757,products!A:A,products!B:B)</f>
        <v>Peach</v>
      </c>
      <c r="H757" t="str">
        <f>_xlfn.XLOOKUP(D757,stores!A:A,stores!B:B)</f>
        <v>Ohrid</v>
      </c>
      <c r="I757" t="str">
        <f t="shared" si="22"/>
        <v>NORMAL</v>
      </c>
      <c r="J757" s="4" t="str">
        <f t="shared" si="23"/>
        <v>8</v>
      </c>
    </row>
    <row r="758" spans="1:10">
      <c r="A758" s="2">
        <v>757</v>
      </c>
      <c r="B758" s="3">
        <v>46258</v>
      </c>
      <c r="C758" s="2">
        <v>1</v>
      </c>
      <c r="D758" s="2">
        <v>1</v>
      </c>
      <c r="E758" s="2">
        <v>16</v>
      </c>
      <c r="F758" s="2">
        <v>960</v>
      </c>
      <c r="G758" t="str">
        <f>_xlfn.XLOOKUP(C758,products!A:A,products!B:B)</f>
        <v>Apple</v>
      </c>
      <c r="H758" t="str">
        <f>_xlfn.XLOOKUP(D758,stores!A:A,stores!B:B)</f>
        <v>Bitola</v>
      </c>
      <c r="I758" t="str">
        <f t="shared" si="22"/>
        <v>NORMAL</v>
      </c>
      <c r="J758" s="4" t="str">
        <f t="shared" si="23"/>
        <v>8</v>
      </c>
    </row>
    <row r="759" spans="1:10">
      <c r="A759" s="2">
        <v>758</v>
      </c>
      <c r="B759" s="3">
        <v>46258</v>
      </c>
      <c r="C759" s="2">
        <v>1</v>
      </c>
      <c r="D759" s="2">
        <v>2</v>
      </c>
      <c r="E759" s="2">
        <v>28.4</v>
      </c>
      <c r="F759" s="2">
        <v>1704</v>
      </c>
      <c r="G759" t="str">
        <f>_xlfn.XLOOKUP(C759,products!A:A,products!B:B)</f>
        <v>Apple</v>
      </c>
      <c r="H759" t="str">
        <f>_xlfn.XLOOKUP(D759,stores!A:A,stores!B:B)</f>
        <v>Ohrid</v>
      </c>
      <c r="I759" t="str">
        <f t="shared" si="22"/>
        <v>NORMAL</v>
      </c>
      <c r="J759" s="4" t="str">
        <f t="shared" si="23"/>
        <v>8</v>
      </c>
    </row>
    <row r="760" spans="1:10">
      <c r="A760" s="2">
        <v>759</v>
      </c>
      <c r="B760" s="3">
        <v>46258</v>
      </c>
      <c r="C760" s="2">
        <v>2</v>
      </c>
      <c r="D760" s="2">
        <v>1</v>
      </c>
      <c r="E760" s="2">
        <v>25.7</v>
      </c>
      <c r="F760" s="2">
        <v>2313</v>
      </c>
      <c r="G760" t="str">
        <f>_xlfn.XLOOKUP(C760,products!A:A,products!B:B)</f>
        <v>Banana</v>
      </c>
      <c r="H760" t="str">
        <f>_xlfn.XLOOKUP(D760,stores!A:A,stores!B:B)</f>
        <v>Bitola</v>
      </c>
      <c r="I760" t="str">
        <f t="shared" si="22"/>
        <v>NORMAL</v>
      </c>
      <c r="J760" s="4" t="str">
        <f t="shared" si="23"/>
        <v>8</v>
      </c>
    </row>
    <row r="761" spans="1:10">
      <c r="A761" s="2">
        <v>760</v>
      </c>
      <c r="B761" s="3">
        <v>46258</v>
      </c>
      <c r="C761" s="2">
        <v>2</v>
      </c>
      <c r="D761" s="2">
        <v>2</v>
      </c>
      <c r="E761" s="2">
        <v>42.3</v>
      </c>
      <c r="F761" s="2">
        <v>3807</v>
      </c>
      <c r="G761" t="str">
        <f>_xlfn.XLOOKUP(C761,products!A:A,products!B:B)</f>
        <v>Banana</v>
      </c>
      <c r="H761" t="str">
        <f>_xlfn.XLOOKUP(D761,stores!A:A,stores!B:B)</f>
        <v>Ohrid</v>
      </c>
      <c r="I761" t="str">
        <f t="shared" si="22"/>
        <v>NORMAL</v>
      </c>
      <c r="J761" s="4" t="str">
        <f t="shared" si="23"/>
        <v>8</v>
      </c>
    </row>
    <row r="762" spans="1:10">
      <c r="A762" s="2">
        <v>761</v>
      </c>
      <c r="B762" s="3">
        <v>46258</v>
      </c>
      <c r="C762" s="2">
        <v>3</v>
      </c>
      <c r="D762" s="2">
        <v>1</v>
      </c>
      <c r="E762" s="2">
        <v>9.1</v>
      </c>
      <c r="F762" s="2">
        <v>728</v>
      </c>
      <c r="G762" t="str">
        <f>_xlfn.XLOOKUP(C762,products!A:A,products!B:B)</f>
        <v>Orange</v>
      </c>
      <c r="H762" t="str">
        <f>_xlfn.XLOOKUP(D762,stores!A:A,stores!B:B)</f>
        <v>Bitola</v>
      </c>
      <c r="I762" t="str">
        <f t="shared" si="22"/>
        <v>NORMAL</v>
      </c>
      <c r="J762" s="4" t="str">
        <f t="shared" si="23"/>
        <v>8</v>
      </c>
    </row>
    <row r="763" spans="1:10">
      <c r="A763" s="2">
        <v>762</v>
      </c>
      <c r="B763" s="3">
        <v>46258</v>
      </c>
      <c r="C763" s="2">
        <v>3</v>
      </c>
      <c r="D763" s="2">
        <v>2</v>
      </c>
      <c r="E763" s="2">
        <v>9.7</v>
      </c>
      <c r="F763" s="2">
        <v>776</v>
      </c>
      <c r="G763" t="str">
        <f>_xlfn.XLOOKUP(C763,products!A:A,products!B:B)</f>
        <v>Orange</v>
      </c>
      <c r="H763" t="str">
        <f>_xlfn.XLOOKUP(D763,stores!A:A,stores!B:B)</f>
        <v>Ohrid</v>
      </c>
      <c r="I763" t="str">
        <f t="shared" si="22"/>
        <v>NORMAL</v>
      </c>
      <c r="J763" s="4" t="str">
        <f t="shared" si="23"/>
        <v>8</v>
      </c>
    </row>
    <row r="764" spans="1:10">
      <c r="A764" s="2">
        <v>763</v>
      </c>
      <c r="B764" s="3">
        <v>46258</v>
      </c>
      <c r="C764" s="2">
        <v>4</v>
      </c>
      <c r="D764" s="2">
        <v>1</v>
      </c>
      <c r="E764" s="2">
        <v>80.7</v>
      </c>
      <c r="F764" s="2">
        <v>2018</v>
      </c>
      <c r="G764" t="str">
        <f>_xlfn.XLOOKUP(C764,products!A:A,products!B:B)</f>
        <v>Watermelon</v>
      </c>
      <c r="H764" t="str">
        <f>_xlfn.XLOOKUP(D764,stores!A:A,stores!B:B)</f>
        <v>Bitola</v>
      </c>
      <c r="I764" t="str">
        <f t="shared" si="22"/>
        <v>BIG</v>
      </c>
      <c r="J764" s="4" t="str">
        <f t="shared" si="23"/>
        <v>8</v>
      </c>
    </row>
    <row r="765" spans="1:10">
      <c r="A765" s="2">
        <v>764</v>
      </c>
      <c r="B765" s="3">
        <v>46258</v>
      </c>
      <c r="C765" s="2">
        <v>4</v>
      </c>
      <c r="D765" s="2">
        <v>2</v>
      </c>
      <c r="E765" s="2">
        <v>103.8</v>
      </c>
      <c r="F765" s="2">
        <v>2595</v>
      </c>
      <c r="G765" t="str">
        <f>_xlfn.XLOOKUP(C765,products!A:A,products!B:B)</f>
        <v>Watermelon</v>
      </c>
      <c r="H765" t="str">
        <f>_xlfn.XLOOKUP(D765,stores!A:A,stores!B:B)</f>
        <v>Ohrid</v>
      </c>
      <c r="I765" t="str">
        <f t="shared" si="22"/>
        <v>BIG</v>
      </c>
      <c r="J765" s="4" t="str">
        <f t="shared" si="23"/>
        <v>8</v>
      </c>
    </row>
    <row r="766" spans="1:10">
      <c r="A766" s="2">
        <v>765</v>
      </c>
      <c r="B766" s="3">
        <v>46258</v>
      </c>
      <c r="C766" s="2">
        <v>5</v>
      </c>
      <c r="D766" s="2">
        <v>1</v>
      </c>
      <c r="E766" s="2">
        <v>8.5</v>
      </c>
      <c r="F766" s="2">
        <v>935</v>
      </c>
      <c r="G766" t="str">
        <f>_xlfn.XLOOKUP(C766,products!A:A,products!B:B)</f>
        <v>Grapes</v>
      </c>
      <c r="H766" t="str">
        <f>_xlfn.XLOOKUP(D766,stores!A:A,stores!B:B)</f>
        <v>Bitola</v>
      </c>
      <c r="I766" t="str">
        <f t="shared" si="22"/>
        <v>NORMAL</v>
      </c>
      <c r="J766" s="4" t="str">
        <f t="shared" si="23"/>
        <v>8</v>
      </c>
    </row>
    <row r="767" spans="1:10">
      <c r="A767" s="2">
        <v>766</v>
      </c>
      <c r="B767" s="3">
        <v>46258</v>
      </c>
      <c r="C767" s="2">
        <v>5</v>
      </c>
      <c r="D767" s="2">
        <v>2</v>
      </c>
      <c r="E767" s="2">
        <v>19.4</v>
      </c>
      <c r="F767" s="2">
        <v>2134</v>
      </c>
      <c r="G767" t="str">
        <f>_xlfn.XLOOKUP(C767,products!A:A,products!B:B)</f>
        <v>Grapes</v>
      </c>
      <c r="H767" t="str">
        <f>_xlfn.XLOOKUP(D767,stores!A:A,stores!B:B)</f>
        <v>Ohrid</v>
      </c>
      <c r="I767" t="str">
        <f t="shared" si="22"/>
        <v>NORMAL</v>
      </c>
      <c r="J767" s="4" t="str">
        <f t="shared" si="23"/>
        <v>8</v>
      </c>
    </row>
    <row r="768" spans="1:10">
      <c r="A768" s="2">
        <v>767</v>
      </c>
      <c r="B768" s="3">
        <v>46258</v>
      </c>
      <c r="C768" s="2">
        <v>6</v>
      </c>
      <c r="D768" s="2">
        <v>1</v>
      </c>
      <c r="E768" s="2">
        <v>2.9</v>
      </c>
      <c r="F768" s="2">
        <v>638</v>
      </c>
      <c r="G768" t="str">
        <f>_xlfn.XLOOKUP(C768,products!A:A,products!B:B)</f>
        <v>Strawberry</v>
      </c>
      <c r="H768" t="str">
        <f>_xlfn.XLOOKUP(D768,stores!A:A,stores!B:B)</f>
        <v>Bitola</v>
      </c>
      <c r="I768" t="str">
        <f t="shared" si="22"/>
        <v>NORMAL</v>
      </c>
      <c r="J768" s="4" t="str">
        <f t="shared" si="23"/>
        <v>8</v>
      </c>
    </row>
    <row r="769" spans="1:10">
      <c r="A769" s="2">
        <v>768</v>
      </c>
      <c r="B769" s="3">
        <v>46258</v>
      </c>
      <c r="C769" s="2">
        <v>6</v>
      </c>
      <c r="D769" s="2">
        <v>2</v>
      </c>
      <c r="E769" s="2">
        <v>6.7</v>
      </c>
      <c r="F769" s="2">
        <v>1474</v>
      </c>
      <c r="G769" t="str">
        <f>_xlfn.XLOOKUP(C769,products!A:A,products!B:B)</f>
        <v>Strawberry</v>
      </c>
      <c r="H769" t="str">
        <f>_xlfn.XLOOKUP(D769,stores!A:A,stores!B:B)</f>
        <v>Ohrid</v>
      </c>
      <c r="I769" t="str">
        <f t="shared" si="22"/>
        <v>NORMAL</v>
      </c>
      <c r="J769" s="4" t="str">
        <f t="shared" si="23"/>
        <v>8</v>
      </c>
    </row>
    <row r="770" spans="1:10">
      <c r="A770" s="2">
        <v>769</v>
      </c>
      <c r="B770" s="3">
        <v>46258</v>
      </c>
      <c r="C770" s="2">
        <v>7</v>
      </c>
      <c r="D770" s="2">
        <v>1</v>
      </c>
      <c r="E770" s="2">
        <v>36.1</v>
      </c>
      <c r="F770" s="2">
        <v>3430</v>
      </c>
      <c r="G770" t="str">
        <f>_xlfn.XLOOKUP(C770,products!A:A,products!B:B)</f>
        <v>Peach</v>
      </c>
      <c r="H770" t="str">
        <f>_xlfn.XLOOKUP(D770,stores!A:A,stores!B:B)</f>
        <v>Bitola</v>
      </c>
      <c r="I770" t="str">
        <f t="shared" ref="I770:I833" si="24">IF(E770&gt;50,"BIG","NORMAL")</f>
        <v>NORMAL</v>
      </c>
      <c r="J770" s="4" t="str">
        <f t="shared" ref="J770:J833" si="25">TEXT(B770,"m")</f>
        <v>8</v>
      </c>
    </row>
    <row r="771" spans="1:10">
      <c r="A771" s="2">
        <v>770</v>
      </c>
      <c r="B771" s="3">
        <v>46258</v>
      </c>
      <c r="C771" s="2">
        <v>7</v>
      </c>
      <c r="D771" s="2">
        <v>2</v>
      </c>
      <c r="E771" s="2">
        <v>53.5</v>
      </c>
      <c r="F771" s="2">
        <v>5082</v>
      </c>
      <c r="G771" t="str">
        <f>_xlfn.XLOOKUP(C771,products!A:A,products!B:B)</f>
        <v>Peach</v>
      </c>
      <c r="H771" t="str">
        <f>_xlfn.XLOOKUP(D771,stores!A:A,stores!B:B)</f>
        <v>Ohrid</v>
      </c>
      <c r="I771" t="str">
        <f t="shared" si="24"/>
        <v>BIG</v>
      </c>
      <c r="J771" s="4" t="str">
        <f t="shared" si="25"/>
        <v>8</v>
      </c>
    </row>
    <row r="772" spans="1:10">
      <c r="A772" s="2">
        <v>771</v>
      </c>
      <c r="B772" s="3">
        <v>46259</v>
      </c>
      <c r="C772" s="2">
        <v>1</v>
      </c>
      <c r="D772" s="2">
        <v>1</v>
      </c>
      <c r="E772" s="2">
        <v>17.7</v>
      </c>
      <c r="F772" s="2">
        <v>1062</v>
      </c>
      <c r="G772" t="str">
        <f>_xlfn.XLOOKUP(C772,products!A:A,products!B:B)</f>
        <v>Apple</v>
      </c>
      <c r="H772" t="str">
        <f>_xlfn.XLOOKUP(D772,stores!A:A,stores!B:B)</f>
        <v>Bitola</v>
      </c>
      <c r="I772" t="str">
        <f t="shared" si="24"/>
        <v>NORMAL</v>
      </c>
      <c r="J772" s="4" t="str">
        <f t="shared" si="25"/>
        <v>8</v>
      </c>
    </row>
    <row r="773" spans="1:10">
      <c r="A773" s="2">
        <v>772</v>
      </c>
      <c r="B773" s="3">
        <v>46259</v>
      </c>
      <c r="C773" s="2">
        <v>1</v>
      </c>
      <c r="D773" s="2">
        <v>2</v>
      </c>
      <c r="E773" s="2">
        <v>27.2</v>
      </c>
      <c r="F773" s="2">
        <v>1632</v>
      </c>
      <c r="G773" t="str">
        <f>_xlfn.XLOOKUP(C773,products!A:A,products!B:B)</f>
        <v>Apple</v>
      </c>
      <c r="H773" t="str">
        <f>_xlfn.XLOOKUP(D773,stores!A:A,stores!B:B)</f>
        <v>Ohrid</v>
      </c>
      <c r="I773" t="str">
        <f t="shared" si="24"/>
        <v>NORMAL</v>
      </c>
      <c r="J773" s="4" t="str">
        <f t="shared" si="25"/>
        <v>8</v>
      </c>
    </row>
    <row r="774" spans="1:10">
      <c r="A774" s="2">
        <v>773</v>
      </c>
      <c r="B774" s="3">
        <v>46259</v>
      </c>
      <c r="C774" s="2">
        <v>2</v>
      </c>
      <c r="D774" s="2">
        <v>1</v>
      </c>
      <c r="E774" s="2">
        <v>27.3</v>
      </c>
      <c r="F774" s="2">
        <v>2457</v>
      </c>
      <c r="G774" t="str">
        <f>_xlfn.XLOOKUP(C774,products!A:A,products!B:B)</f>
        <v>Banana</v>
      </c>
      <c r="H774" t="str">
        <f>_xlfn.XLOOKUP(D774,stores!A:A,stores!B:B)</f>
        <v>Bitola</v>
      </c>
      <c r="I774" t="str">
        <f t="shared" si="24"/>
        <v>NORMAL</v>
      </c>
      <c r="J774" s="4" t="str">
        <f t="shared" si="25"/>
        <v>8</v>
      </c>
    </row>
    <row r="775" spans="1:10">
      <c r="A775" s="2">
        <v>774</v>
      </c>
      <c r="B775" s="3">
        <v>46259</v>
      </c>
      <c r="C775" s="2">
        <v>2</v>
      </c>
      <c r="D775" s="2">
        <v>2</v>
      </c>
      <c r="E775" s="2">
        <v>43.6</v>
      </c>
      <c r="F775" s="2">
        <v>3924</v>
      </c>
      <c r="G775" t="str">
        <f>_xlfn.XLOOKUP(C775,products!A:A,products!B:B)</f>
        <v>Banana</v>
      </c>
      <c r="H775" t="str">
        <f>_xlfn.XLOOKUP(D775,stores!A:A,stores!B:B)</f>
        <v>Ohrid</v>
      </c>
      <c r="I775" t="str">
        <f t="shared" si="24"/>
        <v>NORMAL</v>
      </c>
      <c r="J775" s="4" t="str">
        <f t="shared" si="25"/>
        <v>8</v>
      </c>
    </row>
    <row r="776" spans="1:10">
      <c r="A776" s="2">
        <v>775</v>
      </c>
      <c r="B776" s="3">
        <v>46259</v>
      </c>
      <c r="C776" s="2">
        <v>3</v>
      </c>
      <c r="D776" s="2">
        <v>1</v>
      </c>
      <c r="E776" s="2">
        <v>8.2</v>
      </c>
      <c r="F776" s="2">
        <v>656</v>
      </c>
      <c r="G776" t="str">
        <f>_xlfn.XLOOKUP(C776,products!A:A,products!B:B)</f>
        <v>Orange</v>
      </c>
      <c r="H776" t="str">
        <f>_xlfn.XLOOKUP(D776,stores!A:A,stores!B:B)</f>
        <v>Bitola</v>
      </c>
      <c r="I776" t="str">
        <f t="shared" si="24"/>
        <v>NORMAL</v>
      </c>
      <c r="J776" s="4" t="str">
        <f t="shared" si="25"/>
        <v>8</v>
      </c>
    </row>
    <row r="777" spans="1:10">
      <c r="A777" s="2">
        <v>776</v>
      </c>
      <c r="B777" s="3">
        <v>46259</v>
      </c>
      <c r="C777" s="2">
        <v>3</v>
      </c>
      <c r="D777" s="2">
        <v>2</v>
      </c>
      <c r="E777" s="2">
        <v>13.1</v>
      </c>
      <c r="F777" s="2">
        <v>1048</v>
      </c>
      <c r="G777" t="str">
        <f>_xlfn.XLOOKUP(C777,products!A:A,products!B:B)</f>
        <v>Orange</v>
      </c>
      <c r="H777" t="str">
        <f>_xlfn.XLOOKUP(D777,stores!A:A,stores!B:B)</f>
        <v>Ohrid</v>
      </c>
      <c r="I777" t="str">
        <f t="shared" si="24"/>
        <v>NORMAL</v>
      </c>
      <c r="J777" s="4" t="str">
        <f t="shared" si="25"/>
        <v>8</v>
      </c>
    </row>
    <row r="778" spans="1:10">
      <c r="A778" s="2">
        <v>777</v>
      </c>
      <c r="B778" s="3">
        <v>46259</v>
      </c>
      <c r="C778" s="2">
        <v>4</v>
      </c>
      <c r="D778" s="2">
        <v>1</v>
      </c>
      <c r="E778" s="2">
        <v>115.3</v>
      </c>
      <c r="F778" s="2">
        <v>2882</v>
      </c>
      <c r="G778" t="str">
        <f>_xlfn.XLOOKUP(C778,products!A:A,products!B:B)</f>
        <v>Watermelon</v>
      </c>
      <c r="H778" t="str">
        <f>_xlfn.XLOOKUP(D778,stores!A:A,stores!B:B)</f>
        <v>Bitola</v>
      </c>
      <c r="I778" t="str">
        <f t="shared" si="24"/>
        <v>BIG</v>
      </c>
      <c r="J778" s="4" t="str">
        <f t="shared" si="25"/>
        <v>8</v>
      </c>
    </row>
    <row r="779" spans="1:10">
      <c r="A779" s="2">
        <v>778</v>
      </c>
      <c r="B779" s="3">
        <v>46259</v>
      </c>
      <c r="C779" s="2">
        <v>4</v>
      </c>
      <c r="D779" s="2">
        <v>2</v>
      </c>
      <c r="E779" s="2">
        <v>117.4</v>
      </c>
      <c r="F779" s="2">
        <v>2935</v>
      </c>
      <c r="G779" t="str">
        <f>_xlfn.XLOOKUP(C779,products!A:A,products!B:B)</f>
        <v>Watermelon</v>
      </c>
      <c r="H779" t="str">
        <f>_xlfn.XLOOKUP(D779,stores!A:A,stores!B:B)</f>
        <v>Ohrid</v>
      </c>
      <c r="I779" t="str">
        <f t="shared" si="24"/>
        <v>BIG</v>
      </c>
      <c r="J779" s="4" t="str">
        <f t="shared" si="25"/>
        <v>8</v>
      </c>
    </row>
    <row r="780" spans="1:10">
      <c r="A780" s="2">
        <v>779</v>
      </c>
      <c r="B780" s="3">
        <v>46259</v>
      </c>
      <c r="C780" s="2">
        <v>5</v>
      </c>
      <c r="D780" s="2">
        <v>1</v>
      </c>
      <c r="E780" s="2">
        <v>13.5</v>
      </c>
      <c r="F780" s="2">
        <v>1485</v>
      </c>
      <c r="G780" t="str">
        <f>_xlfn.XLOOKUP(C780,products!A:A,products!B:B)</f>
        <v>Grapes</v>
      </c>
      <c r="H780" t="str">
        <f>_xlfn.XLOOKUP(D780,stores!A:A,stores!B:B)</f>
        <v>Bitola</v>
      </c>
      <c r="I780" t="str">
        <f t="shared" si="24"/>
        <v>NORMAL</v>
      </c>
      <c r="J780" s="4" t="str">
        <f t="shared" si="25"/>
        <v>8</v>
      </c>
    </row>
    <row r="781" spans="1:10">
      <c r="A781" s="2">
        <v>780</v>
      </c>
      <c r="B781" s="3">
        <v>46259</v>
      </c>
      <c r="C781" s="2">
        <v>5</v>
      </c>
      <c r="D781" s="2">
        <v>2</v>
      </c>
      <c r="E781" s="2">
        <v>23</v>
      </c>
      <c r="F781" s="2">
        <v>2530</v>
      </c>
      <c r="G781" t="str">
        <f>_xlfn.XLOOKUP(C781,products!A:A,products!B:B)</f>
        <v>Grapes</v>
      </c>
      <c r="H781" t="str">
        <f>_xlfn.XLOOKUP(D781,stores!A:A,stores!B:B)</f>
        <v>Ohrid</v>
      </c>
      <c r="I781" t="str">
        <f t="shared" si="24"/>
        <v>NORMAL</v>
      </c>
      <c r="J781" s="4" t="str">
        <f t="shared" si="25"/>
        <v>8</v>
      </c>
    </row>
    <row r="782" spans="1:10">
      <c r="A782" s="2">
        <v>781</v>
      </c>
      <c r="B782" s="3">
        <v>46259</v>
      </c>
      <c r="C782" s="2">
        <v>6</v>
      </c>
      <c r="D782" s="2">
        <v>1</v>
      </c>
      <c r="E782" s="2">
        <v>4.5</v>
      </c>
      <c r="F782" s="2">
        <v>990</v>
      </c>
      <c r="G782" t="str">
        <f>_xlfn.XLOOKUP(C782,products!A:A,products!B:B)</f>
        <v>Strawberry</v>
      </c>
      <c r="H782" t="str">
        <f>_xlfn.XLOOKUP(D782,stores!A:A,stores!B:B)</f>
        <v>Bitola</v>
      </c>
      <c r="I782" t="str">
        <f t="shared" si="24"/>
        <v>NORMAL</v>
      </c>
      <c r="J782" s="4" t="str">
        <f t="shared" si="25"/>
        <v>8</v>
      </c>
    </row>
    <row r="783" spans="1:10">
      <c r="A783" s="2">
        <v>782</v>
      </c>
      <c r="B783" s="3">
        <v>46259</v>
      </c>
      <c r="C783" s="2">
        <v>6</v>
      </c>
      <c r="D783" s="2">
        <v>2</v>
      </c>
      <c r="E783" s="2">
        <v>4.8</v>
      </c>
      <c r="F783" s="2">
        <v>1056</v>
      </c>
      <c r="G783" t="str">
        <f>_xlfn.XLOOKUP(C783,products!A:A,products!B:B)</f>
        <v>Strawberry</v>
      </c>
      <c r="H783" t="str">
        <f>_xlfn.XLOOKUP(D783,stores!A:A,stores!B:B)</f>
        <v>Ohrid</v>
      </c>
      <c r="I783" t="str">
        <f t="shared" si="24"/>
        <v>NORMAL</v>
      </c>
      <c r="J783" s="4" t="str">
        <f t="shared" si="25"/>
        <v>8</v>
      </c>
    </row>
    <row r="784" spans="1:10">
      <c r="A784" s="2">
        <v>783</v>
      </c>
      <c r="B784" s="3">
        <v>46259</v>
      </c>
      <c r="C784" s="2">
        <v>7</v>
      </c>
      <c r="D784" s="2">
        <v>1</v>
      </c>
      <c r="E784" s="2">
        <v>24.7</v>
      </c>
      <c r="F784" s="2">
        <v>2346</v>
      </c>
      <c r="G784" t="str">
        <f>_xlfn.XLOOKUP(C784,products!A:A,products!B:B)</f>
        <v>Peach</v>
      </c>
      <c r="H784" t="str">
        <f>_xlfn.XLOOKUP(D784,stores!A:A,stores!B:B)</f>
        <v>Bitola</v>
      </c>
      <c r="I784" t="str">
        <f t="shared" si="24"/>
        <v>NORMAL</v>
      </c>
      <c r="J784" s="4" t="str">
        <f t="shared" si="25"/>
        <v>8</v>
      </c>
    </row>
    <row r="785" spans="1:10">
      <c r="A785" s="2">
        <v>784</v>
      </c>
      <c r="B785" s="3">
        <v>46259</v>
      </c>
      <c r="C785" s="2">
        <v>7</v>
      </c>
      <c r="D785" s="2">
        <v>2</v>
      </c>
      <c r="E785" s="2">
        <v>29.9</v>
      </c>
      <c r="F785" s="2">
        <v>2840</v>
      </c>
      <c r="G785" t="str">
        <f>_xlfn.XLOOKUP(C785,products!A:A,products!B:B)</f>
        <v>Peach</v>
      </c>
      <c r="H785" t="str">
        <f>_xlfn.XLOOKUP(D785,stores!A:A,stores!B:B)</f>
        <v>Ohrid</v>
      </c>
      <c r="I785" t="str">
        <f t="shared" si="24"/>
        <v>NORMAL</v>
      </c>
      <c r="J785" s="4" t="str">
        <f t="shared" si="25"/>
        <v>8</v>
      </c>
    </row>
    <row r="786" spans="1:10">
      <c r="A786" s="2">
        <v>785</v>
      </c>
      <c r="B786" s="3">
        <v>46260</v>
      </c>
      <c r="C786" s="2">
        <v>1</v>
      </c>
      <c r="D786" s="2">
        <v>1</v>
      </c>
      <c r="E786" s="2">
        <v>18.9</v>
      </c>
      <c r="F786" s="2">
        <v>1134</v>
      </c>
      <c r="G786" t="str">
        <f>_xlfn.XLOOKUP(C786,products!A:A,products!B:B)</f>
        <v>Apple</v>
      </c>
      <c r="H786" t="str">
        <f>_xlfn.XLOOKUP(D786,stores!A:A,stores!B:B)</f>
        <v>Bitola</v>
      </c>
      <c r="I786" t="str">
        <f t="shared" si="24"/>
        <v>NORMAL</v>
      </c>
      <c r="J786" s="4" t="str">
        <f t="shared" si="25"/>
        <v>8</v>
      </c>
    </row>
    <row r="787" spans="1:10">
      <c r="A787" s="2">
        <v>786</v>
      </c>
      <c r="B787" s="3">
        <v>46260</v>
      </c>
      <c r="C787" s="2">
        <v>1</v>
      </c>
      <c r="D787" s="2">
        <v>2</v>
      </c>
      <c r="E787" s="2">
        <v>41.3</v>
      </c>
      <c r="F787" s="2">
        <v>2478</v>
      </c>
      <c r="G787" t="str">
        <f>_xlfn.XLOOKUP(C787,products!A:A,products!B:B)</f>
        <v>Apple</v>
      </c>
      <c r="H787" t="str">
        <f>_xlfn.XLOOKUP(D787,stores!A:A,stores!B:B)</f>
        <v>Ohrid</v>
      </c>
      <c r="I787" t="str">
        <f t="shared" si="24"/>
        <v>NORMAL</v>
      </c>
      <c r="J787" s="4" t="str">
        <f t="shared" si="25"/>
        <v>8</v>
      </c>
    </row>
    <row r="788" spans="1:10">
      <c r="A788" s="2">
        <v>787</v>
      </c>
      <c r="B788" s="3">
        <v>46260</v>
      </c>
      <c r="C788" s="2">
        <v>2</v>
      </c>
      <c r="D788" s="2">
        <v>1</v>
      </c>
      <c r="E788" s="2">
        <v>27.6</v>
      </c>
      <c r="F788" s="2">
        <v>2484</v>
      </c>
      <c r="G788" t="str">
        <f>_xlfn.XLOOKUP(C788,products!A:A,products!B:B)</f>
        <v>Banana</v>
      </c>
      <c r="H788" t="str">
        <f>_xlfn.XLOOKUP(D788,stores!A:A,stores!B:B)</f>
        <v>Bitola</v>
      </c>
      <c r="I788" t="str">
        <f t="shared" si="24"/>
        <v>NORMAL</v>
      </c>
      <c r="J788" s="4" t="str">
        <f t="shared" si="25"/>
        <v>8</v>
      </c>
    </row>
    <row r="789" spans="1:10">
      <c r="A789" s="2">
        <v>788</v>
      </c>
      <c r="B789" s="3">
        <v>46260</v>
      </c>
      <c r="C789" s="2">
        <v>2</v>
      </c>
      <c r="D789" s="2">
        <v>2</v>
      </c>
      <c r="E789" s="2">
        <v>35.3</v>
      </c>
      <c r="F789" s="2">
        <v>3177</v>
      </c>
      <c r="G789" t="str">
        <f>_xlfn.XLOOKUP(C789,products!A:A,products!B:B)</f>
        <v>Banana</v>
      </c>
      <c r="H789" t="str">
        <f>_xlfn.XLOOKUP(D789,stores!A:A,stores!B:B)</f>
        <v>Ohrid</v>
      </c>
      <c r="I789" t="str">
        <f t="shared" si="24"/>
        <v>NORMAL</v>
      </c>
      <c r="J789" s="4" t="str">
        <f t="shared" si="25"/>
        <v>8</v>
      </c>
    </row>
    <row r="790" spans="1:10">
      <c r="A790" s="2">
        <v>789</v>
      </c>
      <c r="B790" s="3">
        <v>46260</v>
      </c>
      <c r="C790" s="2">
        <v>3</v>
      </c>
      <c r="D790" s="2">
        <v>1</v>
      </c>
      <c r="E790" s="2">
        <v>7.3</v>
      </c>
      <c r="F790" s="2">
        <v>584</v>
      </c>
      <c r="G790" t="str">
        <f>_xlfn.XLOOKUP(C790,products!A:A,products!B:B)</f>
        <v>Orange</v>
      </c>
      <c r="H790" t="str">
        <f>_xlfn.XLOOKUP(D790,stores!A:A,stores!B:B)</f>
        <v>Bitola</v>
      </c>
      <c r="I790" t="str">
        <f t="shared" si="24"/>
        <v>NORMAL</v>
      </c>
      <c r="J790" s="4" t="str">
        <f t="shared" si="25"/>
        <v>8</v>
      </c>
    </row>
    <row r="791" spans="1:10">
      <c r="A791" s="2">
        <v>790</v>
      </c>
      <c r="B791" s="3">
        <v>46260</v>
      </c>
      <c r="C791" s="2">
        <v>3</v>
      </c>
      <c r="D791" s="2">
        <v>2</v>
      </c>
      <c r="E791" s="2">
        <v>12.7</v>
      </c>
      <c r="F791" s="2">
        <v>1016</v>
      </c>
      <c r="G791" t="str">
        <f>_xlfn.XLOOKUP(C791,products!A:A,products!B:B)</f>
        <v>Orange</v>
      </c>
      <c r="H791" t="str">
        <f>_xlfn.XLOOKUP(D791,stores!A:A,stores!B:B)</f>
        <v>Ohrid</v>
      </c>
      <c r="I791" t="str">
        <f t="shared" si="24"/>
        <v>NORMAL</v>
      </c>
      <c r="J791" s="4" t="str">
        <f t="shared" si="25"/>
        <v>8</v>
      </c>
    </row>
    <row r="792" spans="1:10">
      <c r="A792" s="2">
        <v>791</v>
      </c>
      <c r="B792" s="3">
        <v>46260</v>
      </c>
      <c r="C792" s="2">
        <v>4</v>
      </c>
      <c r="D792" s="2">
        <v>1</v>
      </c>
      <c r="E792" s="2">
        <v>96.8</v>
      </c>
      <c r="F792" s="2">
        <v>2420</v>
      </c>
      <c r="G792" t="str">
        <f>_xlfn.XLOOKUP(C792,products!A:A,products!B:B)</f>
        <v>Watermelon</v>
      </c>
      <c r="H792" t="str">
        <f>_xlfn.XLOOKUP(D792,stores!A:A,stores!B:B)</f>
        <v>Bitola</v>
      </c>
      <c r="I792" t="str">
        <f t="shared" si="24"/>
        <v>BIG</v>
      </c>
      <c r="J792" s="4" t="str">
        <f t="shared" si="25"/>
        <v>8</v>
      </c>
    </row>
    <row r="793" spans="1:10">
      <c r="A793" s="2">
        <v>792</v>
      </c>
      <c r="B793" s="3">
        <v>46260</v>
      </c>
      <c r="C793" s="2">
        <v>4</v>
      </c>
      <c r="D793" s="2">
        <v>2</v>
      </c>
      <c r="E793" s="2">
        <v>106.5</v>
      </c>
      <c r="F793" s="2">
        <v>2662</v>
      </c>
      <c r="G793" t="str">
        <f>_xlfn.XLOOKUP(C793,products!A:A,products!B:B)</f>
        <v>Watermelon</v>
      </c>
      <c r="H793" t="str">
        <f>_xlfn.XLOOKUP(D793,stores!A:A,stores!B:B)</f>
        <v>Ohrid</v>
      </c>
      <c r="I793" t="str">
        <f t="shared" si="24"/>
        <v>BIG</v>
      </c>
      <c r="J793" s="4" t="str">
        <f t="shared" si="25"/>
        <v>8</v>
      </c>
    </row>
    <row r="794" spans="1:10">
      <c r="A794" s="2">
        <v>793</v>
      </c>
      <c r="B794" s="3">
        <v>46260</v>
      </c>
      <c r="C794" s="2">
        <v>5</v>
      </c>
      <c r="D794" s="2">
        <v>1</v>
      </c>
      <c r="E794" s="2">
        <v>19.4</v>
      </c>
      <c r="F794" s="2">
        <v>2134</v>
      </c>
      <c r="G794" t="str">
        <f>_xlfn.XLOOKUP(C794,products!A:A,products!B:B)</f>
        <v>Grapes</v>
      </c>
      <c r="H794" t="str">
        <f>_xlfn.XLOOKUP(D794,stores!A:A,stores!B:B)</f>
        <v>Bitola</v>
      </c>
      <c r="I794" t="str">
        <f t="shared" si="24"/>
        <v>NORMAL</v>
      </c>
      <c r="J794" s="4" t="str">
        <f t="shared" si="25"/>
        <v>8</v>
      </c>
    </row>
    <row r="795" spans="1:10">
      <c r="A795" s="2">
        <v>794</v>
      </c>
      <c r="B795" s="3">
        <v>46260</v>
      </c>
      <c r="C795" s="2">
        <v>5</v>
      </c>
      <c r="D795" s="2">
        <v>2</v>
      </c>
      <c r="E795" s="2">
        <v>16.3</v>
      </c>
      <c r="F795" s="2">
        <v>1793</v>
      </c>
      <c r="G795" t="str">
        <f>_xlfn.XLOOKUP(C795,products!A:A,products!B:B)</f>
        <v>Grapes</v>
      </c>
      <c r="H795" t="str">
        <f>_xlfn.XLOOKUP(D795,stores!A:A,stores!B:B)</f>
        <v>Ohrid</v>
      </c>
      <c r="I795" t="str">
        <f t="shared" si="24"/>
        <v>NORMAL</v>
      </c>
      <c r="J795" s="4" t="str">
        <f t="shared" si="25"/>
        <v>8</v>
      </c>
    </row>
    <row r="796" spans="1:10">
      <c r="A796" s="2">
        <v>795</v>
      </c>
      <c r="B796" s="3">
        <v>46260</v>
      </c>
      <c r="C796" s="2">
        <v>6</v>
      </c>
      <c r="D796" s="2">
        <v>1</v>
      </c>
      <c r="E796" s="2">
        <v>3.8</v>
      </c>
      <c r="F796" s="2">
        <v>836</v>
      </c>
      <c r="G796" t="str">
        <f>_xlfn.XLOOKUP(C796,products!A:A,products!B:B)</f>
        <v>Strawberry</v>
      </c>
      <c r="H796" t="str">
        <f>_xlfn.XLOOKUP(D796,stores!A:A,stores!B:B)</f>
        <v>Bitola</v>
      </c>
      <c r="I796" t="str">
        <f t="shared" si="24"/>
        <v>NORMAL</v>
      </c>
      <c r="J796" s="4" t="str">
        <f t="shared" si="25"/>
        <v>8</v>
      </c>
    </row>
    <row r="797" spans="1:10">
      <c r="A797" s="2">
        <v>796</v>
      </c>
      <c r="B797" s="3">
        <v>46260</v>
      </c>
      <c r="C797" s="2">
        <v>6</v>
      </c>
      <c r="D797" s="2">
        <v>2</v>
      </c>
      <c r="E797" s="2">
        <v>8.1</v>
      </c>
      <c r="F797" s="2">
        <v>1782</v>
      </c>
      <c r="G797" t="str">
        <f>_xlfn.XLOOKUP(C797,products!A:A,products!B:B)</f>
        <v>Strawberry</v>
      </c>
      <c r="H797" t="str">
        <f>_xlfn.XLOOKUP(D797,stores!A:A,stores!B:B)</f>
        <v>Ohrid</v>
      </c>
      <c r="I797" t="str">
        <f t="shared" si="24"/>
        <v>NORMAL</v>
      </c>
      <c r="J797" s="4" t="str">
        <f t="shared" si="25"/>
        <v>8</v>
      </c>
    </row>
    <row r="798" spans="1:10">
      <c r="A798" s="2">
        <v>797</v>
      </c>
      <c r="B798" s="3">
        <v>46260</v>
      </c>
      <c r="C798" s="2">
        <v>7</v>
      </c>
      <c r="D798" s="2">
        <v>1</v>
      </c>
      <c r="E798" s="2">
        <v>15.6</v>
      </c>
      <c r="F798" s="2">
        <v>1482</v>
      </c>
      <c r="G798" t="str">
        <f>_xlfn.XLOOKUP(C798,products!A:A,products!B:B)</f>
        <v>Peach</v>
      </c>
      <c r="H798" t="str">
        <f>_xlfn.XLOOKUP(D798,stores!A:A,stores!B:B)</f>
        <v>Bitola</v>
      </c>
      <c r="I798" t="str">
        <f t="shared" si="24"/>
        <v>NORMAL</v>
      </c>
      <c r="J798" s="4" t="str">
        <f t="shared" si="25"/>
        <v>8</v>
      </c>
    </row>
    <row r="799" spans="1:10">
      <c r="A799" s="2">
        <v>798</v>
      </c>
      <c r="B799" s="3">
        <v>46260</v>
      </c>
      <c r="C799" s="2">
        <v>7</v>
      </c>
      <c r="D799" s="2">
        <v>2</v>
      </c>
      <c r="E799" s="2">
        <v>48.3</v>
      </c>
      <c r="F799" s="2">
        <v>4588</v>
      </c>
      <c r="G799" t="str">
        <f>_xlfn.XLOOKUP(C799,products!A:A,products!B:B)</f>
        <v>Peach</v>
      </c>
      <c r="H799" t="str">
        <f>_xlfn.XLOOKUP(D799,stores!A:A,stores!B:B)</f>
        <v>Ohrid</v>
      </c>
      <c r="I799" t="str">
        <f t="shared" si="24"/>
        <v>NORMAL</v>
      </c>
      <c r="J799" s="4" t="str">
        <f t="shared" si="25"/>
        <v>8</v>
      </c>
    </row>
    <row r="800" spans="1:10">
      <c r="A800" s="2">
        <v>799</v>
      </c>
      <c r="B800" s="3">
        <v>46261</v>
      </c>
      <c r="C800" s="2">
        <v>1</v>
      </c>
      <c r="D800" s="2">
        <v>1</v>
      </c>
      <c r="E800" s="2">
        <v>12.6</v>
      </c>
      <c r="F800" s="2">
        <v>756</v>
      </c>
      <c r="G800" t="str">
        <f>_xlfn.XLOOKUP(C800,products!A:A,products!B:B)</f>
        <v>Apple</v>
      </c>
      <c r="H800" t="str">
        <f>_xlfn.XLOOKUP(D800,stores!A:A,stores!B:B)</f>
        <v>Bitola</v>
      </c>
      <c r="I800" t="str">
        <f t="shared" si="24"/>
        <v>NORMAL</v>
      </c>
      <c r="J800" s="4" t="str">
        <f t="shared" si="25"/>
        <v>8</v>
      </c>
    </row>
    <row r="801" spans="1:10">
      <c r="A801" s="2">
        <v>800</v>
      </c>
      <c r="B801" s="3">
        <v>46261</v>
      </c>
      <c r="C801" s="2">
        <v>1</v>
      </c>
      <c r="D801" s="2">
        <v>2</v>
      </c>
      <c r="E801" s="2">
        <v>29.5</v>
      </c>
      <c r="F801" s="2">
        <v>1770</v>
      </c>
      <c r="G801" t="str">
        <f>_xlfn.XLOOKUP(C801,products!A:A,products!B:B)</f>
        <v>Apple</v>
      </c>
      <c r="H801" t="str">
        <f>_xlfn.XLOOKUP(D801,stores!A:A,stores!B:B)</f>
        <v>Ohrid</v>
      </c>
      <c r="I801" t="str">
        <f t="shared" si="24"/>
        <v>NORMAL</v>
      </c>
      <c r="J801" s="4" t="str">
        <f t="shared" si="25"/>
        <v>8</v>
      </c>
    </row>
    <row r="802" spans="1:10">
      <c r="A802" s="2">
        <v>801</v>
      </c>
      <c r="B802" s="3">
        <v>46261</v>
      </c>
      <c r="C802" s="2">
        <v>2</v>
      </c>
      <c r="D802" s="2">
        <v>1</v>
      </c>
      <c r="E802" s="2">
        <v>23.2</v>
      </c>
      <c r="F802" s="2">
        <v>2088</v>
      </c>
      <c r="G802" t="str">
        <f>_xlfn.XLOOKUP(C802,products!A:A,products!B:B)</f>
        <v>Banana</v>
      </c>
      <c r="H802" t="str">
        <f>_xlfn.XLOOKUP(D802,stores!A:A,stores!B:B)</f>
        <v>Bitola</v>
      </c>
      <c r="I802" t="str">
        <f t="shared" si="24"/>
        <v>NORMAL</v>
      </c>
      <c r="J802" s="4" t="str">
        <f t="shared" si="25"/>
        <v>8</v>
      </c>
    </row>
    <row r="803" spans="1:10">
      <c r="A803" s="2">
        <v>802</v>
      </c>
      <c r="B803" s="3">
        <v>46261</v>
      </c>
      <c r="C803" s="2">
        <v>2</v>
      </c>
      <c r="D803" s="2">
        <v>2</v>
      </c>
      <c r="E803" s="2">
        <v>41.9</v>
      </c>
      <c r="F803" s="2">
        <v>3771</v>
      </c>
      <c r="G803" t="str">
        <f>_xlfn.XLOOKUP(C803,products!A:A,products!B:B)</f>
        <v>Banana</v>
      </c>
      <c r="H803" t="str">
        <f>_xlfn.XLOOKUP(D803,stores!A:A,stores!B:B)</f>
        <v>Ohrid</v>
      </c>
      <c r="I803" t="str">
        <f t="shared" si="24"/>
        <v>NORMAL</v>
      </c>
      <c r="J803" s="4" t="str">
        <f t="shared" si="25"/>
        <v>8</v>
      </c>
    </row>
    <row r="804" spans="1:10">
      <c r="A804" s="2">
        <v>803</v>
      </c>
      <c r="B804" s="3">
        <v>46261</v>
      </c>
      <c r="C804" s="2">
        <v>3</v>
      </c>
      <c r="D804" s="2">
        <v>1</v>
      </c>
      <c r="E804" s="2">
        <v>3.3</v>
      </c>
      <c r="F804" s="2">
        <v>264</v>
      </c>
      <c r="G804" t="str">
        <f>_xlfn.XLOOKUP(C804,products!A:A,products!B:B)</f>
        <v>Orange</v>
      </c>
      <c r="H804" t="str">
        <f>_xlfn.XLOOKUP(D804,stores!A:A,stores!B:B)</f>
        <v>Bitola</v>
      </c>
      <c r="I804" t="str">
        <f t="shared" si="24"/>
        <v>NORMAL</v>
      </c>
      <c r="J804" s="4" t="str">
        <f t="shared" si="25"/>
        <v>8</v>
      </c>
    </row>
    <row r="805" spans="1:10">
      <c r="A805" s="2">
        <v>804</v>
      </c>
      <c r="B805" s="3">
        <v>46261</v>
      </c>
      <c r="C805" s="2">
        <v>3</v>
      </c>
      <c r="D805" s="2">
        <v>2</v>
      </c>
      <c r="E805" s="2">
        <v>8.3</v>
      </c>
      <c r="F805" s="2">
        <v>664</v>
      </c>
      <c r="G805" t="str">
        <f>_xlfn.XLOOKUP(C805,products!A:A,products!B:B)</f>
        <v>Orange</v>
      </c>
      <c r="H805" t="str">
        <f>_xlfn.XLOOKUP(D805,stores!A:A,stores!B:B)</f>
        <v>Ohrid</v>
      </c>
      <c r="I805" t="str">
        <f t="shared" si="24"/>
        <v>NORMAL</v>
      </c>
      <c r="J805" s="4" t="str">
        <f t="shared" si="25"/>
        <v>8</v>
      </c>
    </row>
    <row r="806" spans="1:10">
      <c r="A806" s="2">
        <v>805</v>
      </c>
      <c r="B806" s="3">
        <v>46261</v>
      </c>
      <c r="C806" s="2">
        <v>4</v>
      </c>
      <c r="D806" s="2">
        <v>1</v>
      </c>
      <c r="E806" s="2">
        <v>70.9</v>
      </c>
      <c r="F806" s="2">
        <v>1773</v>
      </c>
      <c r="G806" t="str">
        <f>_xlfn.XLOOKUP(C806,products!A:A,products!B:B)</f>
        <v>Watermelon</v>
      </c>
      <c r="H806" t="str">
        <f>_xlfn.XLOOKUP(D806,stores!A:A,stores!B:B)</f>
        <v>Bitola</v>
      </c>
      <c r="I806" t="str">
        <f t="shared" si="24"/>
        <v>BIG</v>
      </c>
      <c r="J806" s="4" t="str">
        <f t="shared" si="25"/>
        <v>8</v>
      </c>
    </row>
    <row r="807" spans="1:10">
      <c r="A807" s="2">
        <v>806</v>
      </c>
      <c r="B807" s="3">
        <v>46261</v>
      </c>
      <c r="C807" s="2">
        <v>4</v>
      </c>
      <c r="D807" s="2">
        <v>2</v>
      </c>
      <c r="E807" s="2">
        <v>120.9</v>
      </c>
      <c r="F807" s="2">
        <v>3022</v>
      </c>
      <c r="G807" t="str">
        <f>_xlfn.XLOOKUP(C807,products!A:A,products!B:B)</f>
        <v>Watermelon</v>
      </c>
      <c r="H807" t="str">
        <f>_xlfn.XLOOKUP(D807,stores!A:A,stores!B:B)</f>
        <v>Ohrid</v>
      </c>
      <c r="I807" t="str">
        <f t="shared" si="24"/>
        <v>BIG</v>
      </c>
      <c r="J807" s="4" t="str">
        <f t="shared" si="25"/>
        <v>8</v>
      </c>
    </row>
    <row r="808" spans="1:10">
      <c r="A808" s="2">
        <v>807</v>
      </c>
      <c r="B808" s="3">
        <v>46261</v>
      </c>
      <c r="C808" s="2">
        <v>5</v>
      </c>
      <c r="D808" s="2">
        <v>1</v>
      </c>
      <c r="E808" s="2">
        <v>12.3</v>
      </c>
      <c r="F808" s="2">
        <v>1353</v>
      </c>
      <c r="G808" t="str">
        <f>_xlfn.XLOOKUP(C808,products!A:A,products!B:B)</f>
        <v>Grapes</v>
      </c>
      <c r="H808" t="str">
        <f>_xlfn.XLOOKUP(D808,stores!A:A,stores!B:B)</f>
        <v>Bitola</v>
      </c>
      <c r="I808" t="str">
        <f t="shared" si="24"/>
        <v>NORMAL</v>
      </c>
      <c r="J808" s="4" t="str">
        <f t="shared" si="25"/>
        <v>8</v>
      </c>
    </row>
    <row r="809" spans="1:10">
      <c r="A809" s="2">
        <v>808</v>
      </c>
      <c r="B809" s="3">
        <v>46261</v>
      </c>
      <c r="C809" s="2">
        <v>5</v>
      </c>
      <c r="D809" s="2">
        <v>2</v>
      </c>
      <c r="E809" s="2">
        <v>21.5</v>
      </c>
      <c r="F809" s="2">
        <v>2365</v>
      </c>
      <c r="G809" t="str">
        <f>_xlfn.XLOOKUP(C809,products!A:A,products!B:B)</f>
        <v>Grapes</v>
      </c>
      <c r="H809" t="str">
        <f>_xlfn.XLOOKUP(D809,stores!A:A,stores!B:B)</f>
        <v>Ohrid</v>
      </c>
      <c r="I809" t="str">
        <f t="shared" si="24"/>
        <v>NORMAL</v>
      </c>
      <c r="J809" s="4" t="str">
        <f t="shared" si="25"/>
        <v>8</v>
      </c>
    </row>
    <row r="810" spans="1:10">
      <c r="A810" s="2">
        <v>809</v>
      </c>
      <c r="B810" s="3">
        <v>46261</v>
      </c>
      <c r="C810" s="2">
        <v>6</v>
      </c>
      <c r="D810" s="2">
        <v>1</v>
      </c>
      <c r="E810" s="2">
        <v>3.1</v>
      </c>
      <c r="F810" s="2">
        <v>682</v>
      </c>
      <c r="G810" t="str">
        <f>_xlfn.XLOOKUP(C810,products!A:A,products!B:B)</f>
        <v>Strawberry</v>
      </c>
      <c r="H810" t="str">
        <f>_xlfn.XLOOKUP(D810,stores!A:A,stores!B:B)</f>
        <v>Bitola</v>
      </c>
      <c r="I810" t="str">
        <f t="shared" si="24"/>
        <v>NORMAL</v>
      </c>
      <c r="J810" s="4" t="str">
        <f t="shared" si="25"/>
        <v>8</v>
      </c>
    </row>
    <row r="811" spans="1:10">
      <c r="A811" s="2">
        <v>810</v>
      </c>
      <c r="B811" s="3">
        <v>46261</v>
      </c>
      <c r="C811" s="2">
        <v>6</v>
      </c>
      <c r="D811" s="2">
        <v>2</v>
      </c>
      <c r="E811" s="2">
        <v>5.5</v>
      </c>
      <c r="F811" s="2">
        <v>1210</v>
      </c>
      <c r="G811" t="str">
        <f>_xlfn.XLOOKUP(C811,products!A:A,products!B:B)</f>
        <v>Strawberry</v>
      </c>
      <c r="H811" t="str">
        <f>_xlfn.XLOOKUP(D811,stores!A:A,stores!B:B)</f>
        <v>Ohrid</v>
      </c>
      <c r="I811" t="str">
        <f t="shared" si="24"/>
        <v>NORMAL</v>
      </c>
      <c r="J811" s="4" t="str">
        <f t="shared" si="25"/>
        <v>8</v>
      </c>
    </row>
    <row r="812" spans="1:10">
      <c r="A812" s="2">
        <v>811</v>
      </c>
      <c r="B812" s="3">
        <v>46261</v>
      </c>
      <c r="C812" s="2">
        <v>7</v>
      </c>
      <c r="D812" s="2">
        <v>1</v>
      </c>
      <c r="E812" s="2">
        <v>21.6</v>
      </c>
      <c r="F812" s="2">
        <v>2052</v>
      </c>
      <c r="G812" t="str">
        <f>_xlfn.XLOOKUP(C812,products!A:A,products!B:B)</f>
        <v>Peach</v>
      </c>
      <c r="H812" t="str">
        <f>_xlfn.XLOOKUP(D812,stores!A:A,stores!B:B)</f>
        <v>Bitola</v>
      </c>
      <c r="I812" t="str">
        <f t="shared" si="24"/>
        <v>NORMAL</v>
      </c>
      <c r="J812" s="4" t="str">
        <f t="shared" si="25"/>
        <v>8</v>
      </c>
    </row>
    <row r="813" spans="1:10">
      <c r="A813" s="2">
        <v>812</v>
      </c>
      <c r="B813" s="3">
        <v>46261</v>
      </c>
      <c r="C813" s="2">
        <v>7</v>
      </c>
      <c r="D813" s="2">
        <v>2</v>
      </c>
      <c r="E813" s="2">
        <v>40.9</v>
      </c>
      <c r="F813" s="2">
        <v>3886</v>
      </c>
      <c r="G813" t="str">
        <f>_xlfn.XLOOKUP(C813,products!A:A,products!B:B)</f>
        <v>Peach</v>
      </c>
      <c r="H813" t="str">
        <f>_xlfn.XLOOKUP(D813,stores!A:A,stores!B:B)</f>
        <v>Ohrid</v>
      </c>
      <c r="I813" t="str">
        <f t="shared" si="24"/>
        <v>NORMAL</v>
      </c>
      <c r="J813" s="4" t="str">
        <f t="shared" si="25"/>
        <v>8</v>
      </c>
    </row>
    <row r="814" spans="1:10">
      <c r="A814" s="2">
        <v>813</v>
      </c>
      <c r="B814" s="3">
        <v>46262</v>
      </c>
      <c r="C814" s="2">
        <v>1</v>
      </c>
      <c r="D814" s="2">
        <v>1</v>
      </c>
      <c r="E814" s="2">
        <v>22.3</v>
      </c>
      <c r="F814" s="2">
        <v>1338</v>
      </c>
      <c r="G814" t="str">
        <f>_xlfn.XLOOKUP(C814,products!A:A,products!B:B)</f>
        <v>Apple</v>
      </c>
      <c r="H814" t="str">
        <f>_xlfn.XLOOKUP(D814,stores!A:A,stores!B:B)</f>
        <v>Bitola</v>
      </c>
      <c r="I814" t="str">
        <f t="shared" si="24"/>
        <v>NORMAL</v>
      </c>
      <c r="J814" s="4" t="str">
        <f t="shared" si="25"/>
        <v>8</v>
      </c>
    </row>
    <row r="815" spans="1:10">
      <c r="A815" s="2">
        <v>814</v>
      </c>
      <c r="B815" s="3">
        <v>46262</v>
      </c>
      <c r="C815" s="2">
        <v>1</v>
      </c>
      <c r="D815" s="2">
        <v>2</v>
      </c>
      <c r="E815" s="2">
        <v>38.6</v>
      </c>
      <c r="F815" s="2">
        <v>2316</v>
      </c>
      <c r="G815" t="str">
        <f>_xlfn.XLOOKUP(C815,products!A:A,products!B:B)</f>
        <v>Apple</v>
      </c>
      <c r="H815" t="str">
        <f>_xlfn.XLOOKUP(D815,stores!A:A,stores!B:B)</f>
        <v>Ohrid</v>
      </c>
      <c r="I815" t="str">
        <f t="shared" si="24"/>
        <v>NORMAL</v>
      </c>
      <c r="J815" s="4" t="str">
        <f t="shared" si="25"/>
        <v>8</v>
      </c>
    </row>
    <row r="816" spans="1:10">
      <c r="A816" s="2">
        <v>815</v>
      </c>
      <c r="B816" s="3">
        <v>46262</v>
      </c>
      <c r="C816" s="2">
        <v>2</v>
      </c>
      <c r="D816" s="2">
        <v>1</v>
      </c>
      <c r="E816" s="2">
        <v>20.8</v>
      </c>
      <c r="F816" s="2">
        <v>1872</v>
      </c>
      <c r="G816" t="str">
        <f>_xlfn.XLOOKUP(C816,products!A:A,products!B:B)</f>
        <v>Banana</v>
      </c>
      <c r="H816" t="str">
        <f>_xlfn.XLOOKUP(D816,stores!A:A,stores!B:B)</f>
        <v>Bitola</v>
      </c>
      <c r="I816" t="str">
        <f t="shared" si="24"/>
        <v>NORMAL</v>
      </c>
      <c r="J816" s="4" t="str">
        <f t="shared" si="25"/>
        <v>8</v>
      </c>
    </row>
    <row r="817" spans="1:10">
      <c r="A817" s="2">
        <v>816</v>
      </c>
      <c r="B817" s="3">
        <v>46262</v>
      </c>
      <c r="C817" s="2">
        <v>2</v>
      </c>
      <c r="D817" s="2">
        <v>2</v>
      </c>
      <c r="E817" s="2">
        <v>33.7</v>
      </c>
      <c r="F817" s="2">
        <v>3033</v>
      </c>
      <c r="G817" t="str">
        <f>_xlfn.XLOOKUP(C817,products!A:A,products!B:B)</f>
        <v>Banana</v>
      </c>
      <c r="H817" t="str">
        <f>_xlfn.XLOOKUP(D817,stores!A:A,stores!B:B)</f>
        <v>Ohrid</v>
      </c>
      <c r="I817" t="str">
        <f t="shared" si="24"/>
        <v>NORMAL</v>
      </c>
      <c r="J817" s="4" t="str">
        <f t="shared" si="25"/>
        <v>8</v>
      </c>
    </row>
    <row r="818" spans="1:10">
      <c r="A818" s="2">
        <v>817</v>
      </c>
      <c r="B818" s="3">
        <v>46262</v>
      </c>
      <c r="C818" s="2">
        <v>3</v>
      </c>
      <c r="D818" s="2">
        <v>1</v>
      </c>
      <c r="E818" s="2">
        <v>9.1</v>
      </c>
      <c r="F818" s="2">
        <v>728</v>
      </c>
      <c r="G818" t="str">
        <f>_xlfn.XLOOKUP(C818,products!A:A,products!B:B)</f>
        <v>Orange</v>
      </c>
      <c r="H818" t="str">
        <f>_xlfn.XLOOKUP(D818,stores!A:A,stores!B:B)</f>
        <v>Bitola</v>
      </c>
      <c r="I818" t="str">
        <f t="shared" si="24"/>
        <v>NORMAL</v>
      </c>
      <c r="J818" s="4" t="str">
        <f t="shared" si="25"/>
        <v>8</v>
      </c>
    </row>
    <row r="819" spans="1:10">
      <c r="A819" s="2">
        <v>818</v>
      </c>
      <c r="B819" s="3">
        <v>46262</v>
      </c>
      <c r="C819" s="2">
        <v>3</v>
      </c>
      <c r="D819" s="2">
        <v>2</v>
      </c>
      <c r="E819" s="2">
        <v>12.7</v>
      </c>
      <c r="F819" s="2">
        <v>1016</v>
      </c>
      <c r="G819" t="str">
        <f>_xlfn.XLOOKUP(C819,products!A:A,products!B:B)</f>
        <v>Orange</v>
      </c>
      <c r="H819" t="str">
        <f>_xlfn.XLOOKUP(D819,stores!A:A,stores!B:B)</f>
        <v>Ohrid</v>
      </c>
      <c r="I819" t="str">
        <f t="shared" si="24"/>
        <v>NORMAL</v>
      </c>
      <c r="J819" s="4" t="str">
        <f t="shared" si="25"/>
        <v>8</v>
      </c>
    </row>
    <row r="820" spans="1:10">
      <c r="A820" s="2">
        <v>819</v>
      </c>
      <c r="B820" s="3">
        <v>46262</v>
      </c>
      <c r="C820" s="2">
        <v>4</v>
      </c>
      <c r="D820" s="2">
        <v>1</v>
      </c>
      <c r="E820" s="2">
        <v>79.2</v>
      </c>
      <c r="F820" s="2">
        <v>1980</v>
      </c>
      <c r="G820" t="str">
        <f>_xlfn.XLOOKUP(C820,products!A:A,products!B:B)</f>
        <v>Watermelon</v>
      </c>
      <c r="H820" t="str">
        <f>_xlfn.XLOOKUP(D820,stores!A:A,stores!B:B)</f>
        <v>Bitola</v>
      </c>
      <c r="I820" t="str">
        <f t="shared" si="24"/>
        <v>BIG</v>
      </c>
      <c r="J820" s="4" t="str">
        <f t="shared" si="25"/>
        <v>8</v>
      </c>
    </row>
    <row r="821" spans="1:10">
      <c r="A821" s="2">
        <v>820</v>
      </c>
      <c r="B821" s="3">
        <v>46262</v>
      </c>
      <c r="C821" s="2">
        <v>4</v>
      </c>
      <c r="D821" s="2">
        <v>2</v>
      </c>
      <c r="E821" s="2">
        <v>82.5</v>
      </c>
      <c r="F821" s="2">
        <v>2062</v>
      </c>
      <c r="G821" t="str">
        <f>_xlfn.XLOOKUP(C821,products!A:A,products!B:B)</f>
        <v>Watermelon</v>
      </c>
      <c r="H821" t="str">
        <f>_xlfn.XLOOKUP(D821,stores!A:A,stores!B:B)</f>
        <v>Ohrid</v>
      </c>
      <c r="I821" t="str">
        <f t="shared" si="24"/>
        <v>BIG</v>
      </c>
      <c r="J821" s="4" t="str">
        <f t="shared" si="25"/>
        <v>8</v>
      </c>
    </row>
    <row r="822" spans="1:10">
      <c r="A822" s="2">
        <v>821</v>
      </c>
      <c r="B822" s="3">
        <v>46262</v>
      </c>
      <c r="C822" s="2">
        <v>5</v>
      </c>
      <c r="D822" s="2">
        <v>1</v>
      </c>
      <c r="E822" s="2">
        <v>16.1</v>
      </c>
      <c r="F822" s="2">
        <v>1771</v>
      </c>
      <c r="G822" t="str">
        <f>_xlfn.XLOOKUP(C822,products!A:A,products!B:B)</f>
        <v>Grapes</v>
      </c>
      <c r="H822" t="str">
        <f>_xlfn.XLOOKUP(D822,stores!A:A,stores!B:B)</f>
        <v>Bitola</v>
      </c>
      <c r="I822" t="str">
        <f t="shared" si="24"/>
        <v>NORMAL</v>
      </c>
      <c r="J822" s="4" t="str">
        <f t="shared" si="25"/>
        <v>8</v>
      </c>
    </row>
    <row r="823" spans="1:10">
      <c r="A823" s="2">
        <v>822</v>
      </c>
      <c r="B823" s="3">
        <v>46262</v>
      </c>
      <c r="C823" s="2">
        <v>5</v>
      </c>
      <c r="D823" s="2">
        <v>2</v>
      </c>
      <c r="E823" s="2">
        <v>18.4</v>
      </c>
      <c r="F823" s="2">
        <v>2024</v>
      </c>
      <c r="G823" t="str">
        <f>_xlfn.XLOOKUP(C823,products!A:A,products!B:B)</f>
        <v>Grapes</v>
      </c>
      <c r="H823" t="str">
        <f>_xlfn.XLOOKUP(D823,stores!A:A,stores!B:B)</f>
        <v>Ohrid</v>
      </c>
      <c r="I823" t="str">
        <f t="shared" si="24"/>
        <v>NORMAL</v>
      </c>
      <c r="J823" s="4" t="str">
        <f t="shared" si="25"/>
        <v>8</v>
      </c>
    </row>
    <row r="824" spans="1:10">
      <c r="A824" s="2">
        <v>823</v>
      </c>
      <c r="B824" s="3">
        <v>46262</v>
      </c>
      <c r="C824" s="2">
        <v>6</v>
      </c>
      <c r="D824" s="2">
        <v>1</v>
      </c>
      <c r="E824" s="2">
        <v>3.2</v>
      </c>
      <c r="F824" s="2">
        <v>704</v>
      </c>
      <c r="G824" t="str">
        <f>_xlfn.XLOOKUP(C824,products!A:A,products!B:B)</f>
        <v>Strawberry</v>
      </c>
      <c r="H824" t="str">
        <f>_xlfn.XLOOKUP(D824,stores!A:A,stores!B:B)</f>
        <v>Bitola</v>
      </c>
      <c r="I824" t="str">
        <f t="shared" si="24"/>
        <v>NORMAL</v>
      </c>
      <c r="J824" s="4" t="str">
        <f t="shared" si="25"/>
        <v>8</v>
      </c>
    </row>
    <row r="825" spans="1:10">
      <c r="A825" s="2">
        <v>824</v>
      </c>
      <c r="B825" s="3">
        <v>46262</v>
      </c>
      <c r="C825" s="2">
        <v>6</v>
      </c>
      <c r="D825" s="2">
        <v>2</v>
      </c>
      <c r="E825" s="2">
        <v>4.1</v>
      </c>
      <c r="F825" s="2">
        <v>902</v>
      </c>
      <c r="G825" t="str">
        <f>_xlfn.XLOOKUP(C825,products!A:A,products!B:B)</f>
        <v>Strawberry</v>
      </c>
      <c r="H825" t="str">
        <f>_xlfn.XLOOKUP(D825,stores!A:A,stores!B:B)</f>
        <v>Ohrid</v>
      </c>
      <c r="I825" t="str">
        <f t="shared" si="24"/>
        <v>NORMAL</v>
      </c>
      <c r="J825" s="4" t="str">
        <f t="shared" si="25"/>
        <v>8</v>
      </c>
    </row>
    <row r="826" spans="1:10">
      <c r="A826" s="2">
        <v>825</v>
      </c>
      <c r="B826" s="3">
        <v>46262</v>
      </c>
      <c r="C826" s="2">
        <v>7</v>
      </c>
      <c r="D826" s="2">
        <v>1</v>
      </c>
      <c r="E826" s="2">
        <v>32</v>
      </c>
      <c r="F826" s="2">
        <v>3040</v>
      </c>
      <c r="G826" t="str">
        <f>_xlfn.XLOOKUP(C826,products!A:A,products!B:B)</f>
        <v>Peach</v>
      </c>
      <c r="H826" t="str">
        <f>_xlfn.XLOOKUP(D826,stores!A:A,stores!B:B)</f>
        <v>Bitola</v>
      </c>
      <c r="I826" t="str">
        <f t="shared" si="24"/>
        <v>NORMAL</v>
      </c>
      <c r="J826" s="4" t="str">
        <f t="shared" si="25"/>
        <v>8</v>
      </c>
    </row>
    <row r="827" spans="1:10">
      <c r="A827" s="2">
        <v>826</v>
      </c>
      <c r="B827" s="3">
        <v>46262</v>
      </c>
      <c r="C827" s="2">
        <v>7</v>
      </c>
      <c r="D827" s="2">
        <v>2</v>
      </c>
      <c r="E827" s="2">
        <v>37.9</v>
      </c>
      <c r="F827" s="2">
        <v>3600</v>
      </c>
      <c r="G827" t="str">
        <f>_xlfn.XLOOKUP(C827,products!A:A,products!B:B)</f>
        <v>Peach</v>
      </c>
      <c r="H827" t="str">
        <f>_xlfn.XLOOKUP(D827,stores!A:A,stores!B:B)</f>
        <v>Ohrid</v>
      </c>
      <c r="I827" t="str">
        <f t="shared" si="24"/>
        <v>NORMAL</v>
      </c>
      <c r="J827" s="4" t="str">
        <f t="shared" si="25"/>
        <v>8</v>
      </c>
    </row>
    <row r="828" spans="1:10">
      <c r="A828" s="2">
        <v>827</v>
      </c>
      <c r="B828" s="3">
        <v>46263</v>
      </c>
      <c r="C828" s="2">
        <v>1</v>
      </c>
      <c r="D828" s="2">
        <v>1</v>
      </c>
      <c r="E828" s="2">
        <v>30.7</v>
      </c>
      <c r="F828" s="2">
        <v>1842</v>
      </c>
      <c r="G828" t="str">
        <f>_xlfn.XLOOKUP(C828,products!A:A,products!B:B)</f>
        <v>Apple</v>
      </c>
      <c r="H828" t="str">
        <f>_xlfn.XLOOKUP(D828,stores!A:A,stores!B:B)</f>
        <v>Bitola</v>
      </c>
      <c r="I828" t="str">
        <f t="shared" si="24"/>
        <v>NORMAL</v>
      </c>
      <c r="J828" s="4" t="str">
        <f t="shared" si="25"/>
        <v>8</v>
      </c>
    </row>
    <row r="829" spans="1:10">
      <c r="A829" s="2">
        <v>828</v>
      </c>
      <c r="B829" s="3">
        <v>46263</v>
      </c>
      <c r="C829" s="2">
        <v>1</v>
      </c>
      <c r="D829" s="2">
        <v>2</v>
      </c>
      <c r="E829" s="2">
        <v>39.5</v>
      </c>
      <c r="F829" s="2">
        <v>2370</v>
      </c>
      <c r="G829" t="str">
        <f>_xlfn.XLOOKUP(C829,products!A:A,products!B:B)</f>
        <v>Apple</v>
      </c>
      <c r="H829" t="str">
        <f>_xlfn.XLOOKUP(D829,stores!A:A,stores!B:B)</f>
        <v>Ohrid</v>
      </c>
      <c r="I829" t="str">
        <f t="shared" si="24"/>
        <v>NORMAL</v>
      </c>
      <c r="J829" s="4" t="str">
        <f t="shared" si="25"/>
        <v>8</v>
      </c>
    </row>
    <row r="830" spans="1:10">
      <c r="A830" s="2">
        <v>829</v>
      </c>
      <c r="B830" s="3">
        <v>46263</v>
      </c>
      <c r="C830" s="2">
        <v>2</v>
      </c>
      <c r="D830" s="2">
        <v>1</v>
      </c>
      <c r="E830" s="2">
        <v>19.8</v>
      </c>
      <c r="F830" s="2">
        <v>1782</v>
      </c>
      <c r="G830" t="str">
        <f>_xlfn.XLOOKUP(C830,products!A:A,products!B:B)</f>
        <v>Banana</v>
      </c>
      <c r="H830" t="str">
        <f>_xlfn.XLOOKUP(D830,stores!A:A,stores!B:B)</f>
        <v>Bitola</v>
      </c>
      <c r="I830" t="str">
        <f t="shared" si="24"/>
        <v>NORMAL</v>
      </c>
      <c r="J830" s="4" t="str">
        <f t="shared" si="25"/>
        <v>8</v>
      </c>
    </row>
    <row r="831" spans="1:10">
      <c r="A831" s="2">
        <v>830</v>
      </c>
      <c r="B831" s="3">
        <v>46263</v>
      </c>
      <c r="C831" s="2">
        <v>2</v>
      </c>
      <c r="D831" s="2">
        <v>2</v>
      </c>
      <c r="E831" s="2">
        <v>35.2</v>
      </c>
      <c r="F831" s="2">
        <v>3168</v>
      </c>
      <c r="G831" t="str">
        <f>_xlfn.XLOOKUP(C831,products!A:A,products!B:B)</f>
        <v>Banana</v>
      </c>
      <c r="H831" t="str">
        <f>_xlfn.XLOOKUP(D831,stores!A:A,stores!B:B)</f>
        <v>Ohrid</v>
      </c>
      <c r="I831" t="str">
        <f t="shared" si="24"/>
        <v>NORMAL</v>
      </c>
      <c r="J831" s="4" t="str">
        <f t="shared" si="25"/>
        <v>8</v>
      </c>
    </row>
    <row r="832" spans="1:10">
      <c r="A832" s="2">
        <v>831</v>
      </c>
      <c r="B832" s="3">
        <v>46263</v>
      </c>
      <c r="C832" s="2">
        <v>3</v>
      </c>
      <c r="D832" s="2">
        <v>1</v>
      </c>
      <c r="E832" s="2">
        <v>13</v>
      </c>
      <c r="F832" s="2">
        <v>1040</v>
      </c>
      <c r="G832" t="str">
        <f>_xlfn.XLOOKUP(C832,products!A:A,products!B:B)</f>
        <v>Orange</v>
      </c>
      <c r="H832" t="str">
        <f>_xlfn.XLOOKUP(D832,stores!A:A,stores!B:B)</f>
        <v>Bitola</v>
      </c>
      <c r="I832" t="str">
        <f t="shared" si="24"/>
        <v>NORMAL</v>
      </c>
      <c r="J832" s="4" t="str">
        <f t="shared" si="25"/>
        <v>8</v>
      </c>
    </row>
    <row r="833" spans="1:10">
      <c r="A833" s="2">
        <v>832</v>
      </c>
      <c r="B833" s="3">
        <v>46263</v>
      </c>
      <c r="C833" s="2">
        <v>3</v>
      </c>
      <c r="D833" s="2">
        <v>2</v>
      </c>
      <c r="E833" s="2">
        <v>14.3</v>
      </c>
      <c r="F833" s="2">
        <v>1144</v>
      </c>
      <c r="G833" t="str">
        <f>_xlfn.XLOOKUP(C833,products!A:A,products!B:B)</f>
        <v>Orange</v>
      </c>
      <c r="H833" t="str">
        <f>_xlfn.XLOOKUP(D833,stores!A:A,stores!B:B)</f>
        <v>Ohrid</v>
      </c>
      <c r="I833" t="str">
        <f t="shared" si="24"/>
        <v>NORMAL</v>
      </c>
      <c r="J833" s="4" t="str">
        <f t="shared" si="25"/>
        <v>8</v>
      </c>
    </row>
    <row r="834" spans="1:10">
      <c r="A834" s="2">
        <v>833</v>
      </c>
      <c r="B834" s="3">
        <v>46263</v>
      </c>
      <c r="C834" s="2">
        <v>4</v>
      </c>
      <c r="D834" s="2">
        <v>1</v>
      </c>
      <c r="E834" s="2">
        <v>78.2</v>
      </c>
      <c r="F834" s="2">
        <v>1955</v>
      </c>
      <c r="G834" t="str">
        <f>_xlfn.XLOOKUP(C834,products!A:A,products!B:B)</f>
        <v>Watermelon</v>
      </c>
      <c r="H834" t="str">
        <f>_xlfn.XLOOKUP(D834,stores!A:A,stores!B:B)</f>
        <v>Bitola</v>
      </c>
      <c r="I834" t="str">
        <f t="shared" ref="I834:I897" si="26">IF(E834&gt;50,"BIG","NORMAL")</f>
        <v>BIG</v>
      </c>
      <c r="J834" s="4" t="str">
        <f t="shared" ref="J834:J897" si="27">TEXT(B834,"m")</f>
        <v>8</v>
      </c>
    </row>
    <row r="835" spans="1:10">
      <c r="A835" s="2">
        <v>834</v>
      </c>
      <c r="B835" s="3">
        <v>46263</v>
      </c>
      <c r="C835" s="2">
        <v>4</v>
      </c>
      <c r="D835" s="2">
        <v>2</v>
      </c>
      <c r="E835" s="2">
        <v>144.6</v>
      </c>
      <c r="F835" s="2">
        <v>3615</v>
      </c>
      <c r="G835" t="str">
        <f>_xlfn.XLOOKUP(C835,products!A:A,products!B:B)</f>
        <v>Watermelon</v>
      </c>
      <c r="H835" t="str">
        <f>_xlfn.XLOOKUP(D835,stores!A:A,stores!B:B)</f>
        <v>Ohrid</v>
      </c>
      <c r="I835" t="str">
        <f t="shared" si="26"/>
        <v>BIG</v>
      </c>
      <c r="J835" s="4" t="str">
        <f t="shared" si="27"/>
        <v>8</v>
      </c>
    </row>
    <row r="836" spans="1:10">
      <c r="A836" s="2">
        <v>835</v>
      </c>
      <c r="B836" s="3">
        <v>46263</v>
      </c>
      <c r="C836" s="2">
        <v>5</v>
      </c>
      <c r="D836" s="2">
        <v>1</v>
      </c>
      <c r="E836" s="2">
        <v>18.1</v>
      </c>
      <c r="F836" s="2">
        <v>1991</v>
      </c>
      <c r="G836" t="str">
        <f>_xlfn.XLOOKUP(C836,products!A:A,products!B:B)</f>
        <v>Grapes</v>
      </c>
      <c r="H836" t="str">
        <f>_xlfn.XLOOKUP(D836,stores!A:A,stores!B:B)</f>
        <v>Bitola</v>
      </c>
      <c r="I836" t="str">
        <f t="shared" si="26"/>
        <v>NORMAL</v>
      </c>
      <c r="J836" s="4" t="str">
        <f t="shared" si="27"/>
        <v>8</v>
      </c>
    </row>
    <row r="837" spans="1:10">
      <c r="A837" s="2">
        <v>836</v>
      </c>
      <c r="B837" s="3">
        <v>46263</v>
      </c>
      <c r="C837" s="2">
        <v>5</v>
      </c>
      <c r="D837" s="2">
        <v>2</v>
      </c>
      <c r="E837" s="2">
        <v>22.4</v>
      </c>
      <c r="F837" s="2">
        <v>2464</v>
      </c>
      <c r="G837" t="str">
        <f>_xlfn.XLOOKUP(C837,products!A:A,products!B:B)</f>
        <v>Grapes</v>
      </c>
      <c r="H837" t="str">
        <f>_xlfn.XLOOKUP(D837,stores!A:A,stores!B:B)</f>
        <v>Ohrid</v>
      </c>
      <c r="I837" t="str">
        <f t="shared" si="26"/>
        <v>NORMAL</v>
      </c>
      <c r="J837" s="4" t="str">
        <f t="shared" si="27"/>
        <v>8</v>
      </c>
    </row>
    <row r="838" spans="1:10">
      <c r="A838" s="2">
        <v>837</v>
      </c>
      <c r="B838" s="3">
        <v>46263</v>
      </c>
      <c r="C838" s="2">
        <v>6</v>
      </c>
      <c r="D838" s="2">
        <v>1</v>
      </c>
      <c r="E838" s="2">
        <v>4.7</v>
      </c>
      <c r="F838" s="2">
        <v>1034</v>
      </c>
      <c r="G838" t="str">
        <f>_xlfn.XLOOKUP(C838,products!A:A,products!B:B)</f>
        <v>Strawberry</v>
      </c>
      <c r="H838" t="str">
        <f>_xlfn.XLOOKUP(D838,stores!A:A,stores!B:B)</f>
        <v>Bitola</v>
      </c>
      <c r="I838" t="str">
        <f t="shared" si="26"/>
        <v>NORMAL</v>
      </c>
      <c r="J838" s="4" t="str">
        <f t="shared" si="27"/>
        <v>8</v>
      </c>
    </row>
    <row r="839" spans="1:10">
      <c r="A839" s="2">
        <v>838</v>
      </c>
      <c r="B839" s="3">
        <v>46263</v>
      </c>
      <c r="C839" s="2">
        <v>6</v>
      </c>
      <c r="D839" s="2">
        <v>2</v>
      </c>
      <c r="E839" s="2">
        <v>6.8</v>
      </c>
      <c r="F839" s="2">
        <v>1496</v>
      </c>
      <c r="G839" t="str">
        <f>_xlfn.XLOOKUP(C839,products!A:A,products!B:B)</f>
        <v>Strawberry</v>
      </c>
      <c r="H839" t="str">
        <f>_xlfn.XLOOKUP(D839,stores!A:A,stores!B:B)</f>
        <v>Ohrid</v>
      </c>
      <c r="I839" t="str">
        <f t="shared" si="26"/>
        <v>NORMAL</v>
      </c>
      <c r="J839" s="4" t="str">
        <f t="shared" si="27"/>
        <v>8</v>
      </c>
    </row>
    <row r="840" spans="1:10">
      <c r="A840" s="2">
        <v>839</v>
      </c>
      <c r="B840" s="3">
        <v>46263</v>
      </c>
      <c r="C840" s="2">
        <v>7</v>
      </c>
      <c r="D840" s="2">
        <v>1</v>
      </c>
      <c r="E840" s="2">
        <v>15.7</v>
      </c>
      <c r="F840" s="2">
        <v>1492</v>
      </c>
      <c r="G840" t="str">
        <f>_xlfn.XLOOKUP(C840,products!A:A,products!B:B)</f>
        <v>Peach</v>
      </c>
      <c r="H840" t="str">
        <f>_xlfn.XLOOKUP(D840,stores!A:A,stores!B:B)</f>
        <v>Bitola</v>
      </c>
      <c r="I840" t="str">
        <f t="shared" si="26"/>
        <v>NORMAL</v>
      </c>
      <c r="J840" s="4" t="str">
        <f t="shared" si="27"/>
        <v>8</v>
      </c>
    </row>
    <row r="841" spans="1:10">
      <c r="A841" s="2">
        <v>840</v>
      </c>
      <c r="B841" s="3">
        <v>46263</v>
      </c>
      <c r="C841" s="2">
        <v>7</v>
      </c>
      <c r="D841" s="2">
        <v>2</v>
      </c>
      <c r="E841" s="2">
        <v>53.7</v>
      </c>
      <c r="F841" s="2">
        <v>5102</v>
      </c>
      <c r="G841" t="str">
        <f>_xlfn.XLOOKUP(C841,products!A:A,products!B:B)</f>
        <v>Peach</v>
      </c>
      <c r="H841" t="str">
        <f>_xlfn.XLOOKUP(D841,stores!A:A,stores!B:B)</f>
        <v>Ohrid</v>
      </c>
      <c r="I841" t="str">
        <f t="shared" si="26"/>
        <v>BIG</v>
      </c>
      <c r="J841" s="4" t="str">
        <f t="shared" si="27"/>
        <v>8</v>
      </c>
    </row>
    <row r="842" spans="1:10">
      <c r="A842" s="2">
        <v>841</v>
      </c>
      <c r="B842" s="3">
        <v>46264</v>
      </c>
      <c r="C842" s="2">
        <v>1</v>
      </c>
      <c r="D842" s="2">
        <v>1</v>
      </c>
      <c r="E842" s="2">
        <v>20.9</v>
      </c>
      <c r="F842" s="2">
        <v>1254</v>
      </c>
      <c r="G842" t="str">
        <f>_xlfn.XLOOKUP(C842,products!A:A,products!B:B)</f>
        <v>Apple</v>
      </c>
      <c r="H842" t="str">
        <f>_xlfn.XLOOKUP(D842,stores!A:A,stores!B:B)</f>
        <v>Bitola</v>
      </c>
      <c r="I842" t="str">
        <f t="shared" si="26"/>
        <v>NORMAL</v>
      </c>
      <c r="J842" s="4" t="str">
        <f t="shared" si="27"/>
        <v>8</v>
      </c>
    </row>
    <row r="843" spans="1:10">
      <c r="A843" s="2">
        <v>842</v>
      </c>
      <c r="B843" s="3">
        <v>46264</v>
      </c>
      <c r="C843" s="2">
        <v>1</v>
      </c>
      <c r="D843" s="2">
        <v>2</v>
      </c>
      <c r="E843" s="2">
        <v>47.3</v>
      </c>
      <c r="F843" s="2">
        <v>2838</v>
      </c>
      <c r="G843" t="str">
        <f>_xlfn.XLOOKUP(C843,products!A:A,products!B:B)</f>
        <v>Apple</v>
      </c>
      <c r="H843" t="str">
        <f>_xlfn.XLOOKUP(D843,stores!A:A,stores!B:B)</f>
        <v>Ohrid</v>
      </c>
      <c r="I843" t="str">
        <f t="shared" si="26"/>
        <v>NORMAL</v>
      </c>
      <c r="J843" s="4" t="str">
        <f t="shared" si="27"/>
        <v>8</v>
      </c>
    </row>
    <row r="844" spans="1:10">
      <c r="A844" s="2">
        <v>843</v>
      </c>
      <c r="B844" s="3">
        <v>46264</v>
      </c>
      <c r="C844" s="2">
        <v>2</v>
      </c>
      <c r="D844" s="2">
        <v>1</v>
      </c>
      <c r="E844" s="2">
        <v>23.1</v>
      </c>
      <c r="F844" s="2">
        <v>2079</v>
      </c>
      <c r="G844" t="str">
        <f>_xlfn.XLOOKUP(C844,products!A:A,products!B:B)</f>
        <v>Banana</v>
      </c>
      <c r="H844" t="str">
        <f>_xlfn.XLOOKUP(D844,stores!A:A,stores!B:B)</f>
        <v>Bitola</v>
      </c>
      <c r="I844" t="str">
        <f t="shared" si="26"/>
        <v>NORMAL</v>
      </c>
      <c r="J844" s="4" t="str">
        <f t="shared" si="27"/>
        <v>8</v>
      </c>
    </row>
    <row r="845" spans="1:10">
      <c r="A845" s="2">
        <v>844</v>
      </c>
      <c r="B845" s="3">
        <v>46264</v>
      </c>
      <c r="C845" s="2">
        <v>2</v>
      </c>
      <c r="D845" s="2">
        <v>2</v>
      </c>
      <c r="E845" s="2">
        <v>30.8</v>
      </c>
      <c r="F845" s="2">
        <v>2772</v>
      </c>
      <c r="G845" t="str">
        <f>_xlfn.XLOOKUP(C845,products!A:A,products!B:B)</f>
        <v>Banana</v>
      </c>
      <c r="H845" t="str">
        <f>_xlfn.XLOOKUP(D845,stores!A:A,stores!B:B)</f>
        <v>Ohrid</v>
      </c>
      <c r="I845" t="str">
        <f t="shared" si="26"/>
        <v>NORMAL</v>
      </c>
      <c r="J845" s="4" t="str">
        <f t="shared" si="27"/>
        <v>8</v>
      </c>
    </row>
    <row r="846" spans="1:10">
      <c r="A846" s="2">
        <v>845</v>
      </c>
      <c r="B846" s="3">
        <v>46264</v>
      </c>
      <c r="C846" s="2">
        <v>3</v>
      </c>
      <c r="D846" s="2">
        <v>1</v>
      </c>
      <c r="E846" s="2">
        <v>13.9</v>
      </c>
      <c r="F846" s="2">
        <v>1112</v>
      </c>
      <c r="G846" t="str">
        <f>_xlfn.XLOOKUP(C846,products!A:A,products!B:B)</f>
        <v>Orange</v>
      </c>
      <c r="H846" t="str">
        <f>_xlfn.XLOOKUP(D846,stores!A:A,stores!B:B)</f>
        <v>Bitola</v>
      </c>
      <c r="I846" t="str">
        <f t="shared" si="26"/>
        <v>NORMAL</v>
      </c>
      <c r="J846" s="4" t="str">
        <f t="shared" si="27"/>
        <v>8</v>
      </c>
    </row>
    <row r="847" spans="1:10">
      <c r="A847" s="2">
        <v>846</v>
      </c>
      <c r="B847" s="3">
        <v>46264</v>
      </c>
      <c r="C847" s="2">
        <v>3</v>
      </c>
      <c r="D847" s="2">
        <v>2</v>
      </c>
      <c r="E847" s="2">
        <v>11.5</v>
      </c>
      <c r="F847" s="2">
        <v>920</v>
      </c>
      <c r="G847" t="str">
        <f>_xlfn.XLOOKUP(C847,products!A:A,products!B:B)</f>
        <v>Orange</v>
      </c>
      <c r="H847" t="str">
        <f>_xlfn.XLOOKUP(D847,stores!A:A,stores!B:B)</f>
        <v>Ohrid</v>
      </c>
      <c r="I847" t="str">
        <f t="shared" si="26"/>
        <v>NORMAL</v>
      </c>
      <c r="J847" s="4" t="str">
        <f t="shared" si="27"/>
        <v>8</v>
      </c>
    </row>
    <row r="848" spans="1:10">
      <c r="A848" s="2">
        <v>847</v>
      </c>
      <c r="B848" s="3">
        <v>46264</v>
      </c>
      <c r="C848" s="2">
        <v>4</v>
      </c>
      <c r="D848" s="2">
        <v>1</v>
      </c>
      <c r="E848" s="2">
        <v>87.3</v>
      </c>
      <c r="F848" s="2">
        <v>2182</v>
      </c>
      <c r="G848" t="str">
        <f>_xlfn.XLOOKUP(C848,products!A:A,products!B:B)</f>
        <v>Watermelon</v>
      </c>
      <c r="H848" t="str">
        <f>_xlfn.XLOOKUP(D848,stores!A:A,stores!B:B)</f>
        <v>Bitola</v>
      </c>
      <c r="I848" t="str">
        <f t="shared" si="26"/>
        <v>BIG</v>
      </c>
      <c r="J848" s="4" t="str">
        <f t="shared" si="27"/>
        <v>8</v>
      </c>
    </row>
    <row r="849" spans="1:10">
      <c r="A849" s="2">
        <v>848</v>
      </c>
      <c r="B849" s="3">
        <v>46264</v>
      </c>
      <c r="C849" s="2">
        <v>4</v>
      </c>
      <c r="D849" s="2">
        <v>2</v>
      </c>
      <c r="E849" s="2">
        <v>167.9</v>
      </c>
      <c r="F849" s="2">
        <v>4198</v>
      </c>
      <c r="G849" t="str">
        <f>_xlfn.XLOOKUP(C849,products!A:A,products!B:B)</f>
        <v>Watermelon</v>
      </c>
      <c r="H849" t="str">
        <f>_xlfn.XLOOKUP(D849,stores!A:A,stores!B:B)</f>
        <v>Ohrid</v>
      </c>
      <c r="I849" t="str">
        <f t="shared" si="26"/>
        <v>BIG</v>
      </c>
      <c r="J849" s="4" t="str">
        <f t="shared" si="27"/>
        <v>8</v>
      </c>
    </row>
    <row r="850" spans="1:10">
      <c r="A850" s="2">
        <v>849</v>
      </c>
      <c r="B850" s="3">
        <v>46264</v>
      </c>
      <c r="C850" s="2">
        <v>5</v>
      </c>
      <c r="D850" s="2">
        <v>1</v>
      </c>
      <c r="E850" s="2">
        <v>17.5</v>
      </c>
      <c r="F850" s="2">
        <v>1925</v>
      </c>
      <c r="G850" t="str">
        <f>_xlfn.XLOOKUP(C850,products!A:A,products!B:B)</f>
        <v>Grapes</v>
      </c>
      <c r="H850" t="str">
        <f>_xlfn.XLOOKUP(D850,stores!A:A,stores!B:B)</f>
        <v>Bitola</v>
      </c>
      <c r="I850" t="str">
        <f t="shared" si="26"/>
        <v>NORMAL</v>
      </c>
      <c r="J850" s="4" t="str">
        <f t="shared" si="27"/>
        <v>8</v>
      </c>
    </row>
    <row r="851" spans="1:10">
      <c r="A851" s="2">
        <v>850</v>
      </c>
      <c r="B851" s="3">
        <v>46264</v>
      </c>
      <c r="C851" s="2">
        <v>5</v>
      </c>
      <c r="D851" s="2">
        <v>2</v>
      </c>
      <c r="E851" s="2">
        <v>18.8</v>
      </c>
      <c r="F851" s="2">
        <v>2068</v>
      </c>
      <c r="G851" t="str">
        <f>_xlfn.XLOOKUP(C851,products!A:A,products!B:B)</f>
        <v>Grapes</v>
      </c>
      <c r="H851" t="str">
        <f>_xlfn.XLOOKUP(D851,stores!A:A,stores!B:B)</f>
        <v>Ohrid</v>
      </c>
      <c r="I851" t="str">
        <f t="shared" si="26"/>
        <v>NORMAL</v>
      </c>
      <c r="J851" s="4" t="str">
        <f t="shared" si="27"/>
        <v>8</v>
      </c>
    </row>
    <row r="852" spans="1:10">
      <c r="A852" s="2">
        <v>851</v>
      </c>
      <c r="B852" s="3">
        <v>46264</v>
      </c>
      <c r="C852" s="2">
        <v>6</v>
      </c>
      <c r="D852" s="2">
        <v>1</v>
      </c>
      <c r="E852" s="2">
        <v>5.2</v>
      </c>
      <c r="F852" s="2">
        <v>1144</v>
      </c>
      <c r="G852" t="str">
        <f>_xlfn.XLOOKUP(C852,products!A:A,products!B:B)</f>
        <v>Strawberry</v>
      </c>
      <c r="H852" t="str">
        <f>_xlfn.XLOOKUP(D852,stores!A:A,stores!B:B)</f>
        <v>Bitola</v>
      </c>
      <c r="I852" t="str">
        <f t="shared" si="26"/>
        <v>NORMAL</v>
      </c>
      <c r="J852" s="4" t="str">
        <f t="shared" si="27"/>
        <v>8</v>
      </c>
    </row>
    <row r="853" spans="1:10">
      <c r="A853" s="2">
        <v>852</v>
      </c>
      <c r="B853" s="3">
        <v>46264</v>
      </c>
      <c r="C853" s="2">
        <v>6</v>
      </c>
      <c r="D853" s="2">
        <v>2</v>
      </c>
      <c r="E853" s="2">
        <v>7.2</v>
      </c>
      <c r="F853" s="2">
        <v>1584</v>
      </c>
      <c r="G853" t="str">
        <f>_xlfn.XLOOKUP(C853,products!A:A,products!B:B)</f>
        <v>Strawberry</v>
      </c>
      <c r="H853" t="str">
        <f>_xlfn.XLOOKUP(D853,stores!A:A,stores!B:B)</f>
        <v>Ohrid</v>
      </c>
      <c r="I853" t="str">
        <f t="shared" si="26"/>
        <v>NORMAL</v>
      </c>
      <c r="J853" s="4" t="str">
        <f t="shared" si="27"/>
        <v>8</v>
      </c>
    </row>
    <row r="854" spans="1:10">
      <c r="A854" s="2">
        <v>853</v>
      </c>
      <c r="B854" s="3">
        <v>46264</v>
      </c>
      <c r="C854" s="2">
        <v>7</v>
      </c>
      <c r="D854" s="2">
        <v>1</v>
      </c>
      <c r="E854" s="2">
        <v>40.8</v>
      </c>
      <c r="F854" s="2">
        <v>3876</v>
      </c>
      <c r="G854" t="str">
        <f>_xlfn.XLOOKUP(C854,products!A:A,products!B:B)</f>
        <v>Peach</v>
      </c>
      <c r="H854" t="str">
        <f>_xlfn.XLOOKUP(D854,stores!A:A,stores!B:B)</f>
        <v>Bitola</v>
      </c>
      <c r="I854" t="str">
        <f t="shared" si="26"/>
        <v>NORMAL</v>
      </c>
      <c r="J854" s="4" t="str">
        <f t="shared" si="27"/>
        <v>8</v>
      </c>
    </row>
    <row r="855" spans="1:10">
      <c r="A855" s="2">
        <v>854</v>
      </c>
      <c r="B855" s="3">
        <v>46264</v>
      </c>
      <c r="C855" s="2">
        <v>7</v>
      </c>
      <c r="D855" s="2">
        <v>2</v>
      </c>
      <c r="E855" s="2">
        <v>54.5</v>
      </c>
      <c r="F855" s="2">
        <v>5178</v>
      </c>
      <c r="G855" t="str">
        <f>_xlfn.XLOOKUP(C855,products!A:A,products!B:B)</f>
        <v>Peach</v>
      </c>
      <c r="H855" t="str">
        <f>_xlfn.XLOOKUP(D855,stores!A:A,stores!B:B)</f>
        <v>Ohrid</v>
      </c>
      <c r="I855" t="str">
        <f t="shared" si="26"/>
        <v>BIG</v>
      </c>
      <c r="J855" s="4" t="str">
        <f t="shared" si="27"/>
        <v>8</v>
      </c>
    </row>
    <row r="856" spans="1:10">
      <c r="A856" s="2">
        <v>855</v>
      </c>
      <c r="B856" s="3">
        <v>46265</v>
      </c>
      <c r="C856" s="2">
        <v>1</v>
      </c>
      <c r="D856" s="2">
        <v>1</v>
      </c>
      <c r="E856" s="2">
        <v>32.1</v>
      </c>
      <c r="F856" s="2">
        <v>1926</v>
      </c>
      <c r="G856" t="str">
        <f>_xlfn.XLOOKUP(C856,products!A:A,products!B:B)</f>
        <v>Apple</v>
      </c>
      <c r="H856" t="str">
        <f>_xlfn.XLOOKUP(D856,stores!A:A,stores!B:B)</f>
        <v>Bitola</v>
      </c>
      <c r="I856" t="str">
        <f t="shared" si="26"/>
        <v>NORMAL</v>
      </c>
      <c r="J856" s="4" t="str">
        <f t="shared" si="27"/>
        <v>8</v>
      </c>
    </row>
    <row r="857" spans="1:10">
      <c r="A857" s="2">
        <v>856</v>
      </c>
      <c r="B857" s="3">
        <v>46265</v>
      </c>
      <c r="C857" s="2">
        <v>1</v>
      </c>
      <c r="D857" s="2">
        <v>2</v>
      </c>
      <c r="E857" s="2">
        <v>20.1</v>
      </c>
      <c r="F857" s="2">
        <v>1206</v>
      </c>
      <c r="G857" t="str">
        <f>_xlfn.XLOOKUP(C857,products!A:A,products!B:B)</f>
        <v>Apple</v>
      </c>
      <c r="H857" t="str">
        <f>_xlfn.XLOOKUP(D857,stores!A:A,stores!B:B)</f>
        <v>Ohrid</v>
      </c>
      <c r="I857" t="str">
        <f t="shared" si="26"/>
        <v>NORMAL</v>
      </c>
      <c r="J857" s="4" t="str">
        <f t="shared" si="27"/>
        <v>8</v>
      </c>
    </row>
    <row r="858" spans="1:10">
      <c r="A858" s="2">
        <v>857</v>
      </c>
      <c r="B858" s="3">
        <v>46265</v>
      </c>
      <c r="C858" s="2">
        <v>2</v>
      </c>
      <c r="D858" s="2">
        <v>1</v>
      </c>
      <c r="E858" s="2">
        <v>23.9</v>
      </c>
      <c r="F858" s="2">
        <v>2151</v>
      </c>
      <c r="G858" t="str">
        <f>_xlfn.XLOOKUP(C858,products!A:A,products!B:B)</f>
        <v>Banana</v>
      </c>
      <c r="H858" t="str">
        <f>_xlfn.XLOOKUP(D858,stores!A:A,stores!B:B)</f>
        <v>Bitola</v>
      </c>
      <c r="I858" t="str">
        <f t="shared" si="26"/>
        <v>NORMAL</v>
      </c>
      <c r="J858" s="4" t="str">
        <f t="shared" si="27"/>
        <v>8</v>
      </c>
    </row>
    <row r="859" spans="1:10">
      <c r="A859" s="2">
        <v>858</v>
      </c>
      <c r="B859" s="3">
        <v>46265</v>
      </c>
      <c r="C859" s="2">
        <v>2</v>
      </c>
      <c r="D859" s="2">
        <v>2</v>
      </c>
      <c r="E859" s="2">
        <v>28.3</v>
      </c>
      <c r="F859" s="2">
        <v>2547</v>
      </c>
      <c r="G859" t="str">
        <f>_xlfn.XLOOKUP(C859,products!A:A,products!B:B)</f>
        <v>Banana</v>
      </c>
      <c r="H859" t="str">
        <f>_xlfn.XLOOKUP(D859,stores!A:A,stores!B:B)</f>
        <v>Ohrid</v>
      </c>
      <c r="I859" t="str">
        <f t="shared" si="26"/>
        <v>NORMAL</v>
      </c>
      <c r="J859" s="4" t="str">
        <f t="shared" si="27"/>
        <v>8</v>
      </c>
    </row>
    <row r="860" spans="1:10">
      <c r="A860" s="2">
        <v>859</v>
      </c>
      <c r="B860" s="3">
        <v>46265</v>
      </c>
      <c r="C860" s="2">
        <v>3</v>
      </c>
      <c r="D860" s="2">
        <v>1</v>
      </c>
      <c r="E860" s="2">
        <v>11.1</v>
      </c>
      <c r="F860" s="2">
        <v>888</v>
      </c>
      <c r="G860" t="str">
        <f>_xlfn.XLOOKUP(C860,products!A:A,products!B:B)</f>
        <v>Orange</v>
      </c>
      <c r="H860" t="str">
        <f>_xlfn.XLOOKUP(D860,stores!A:A,stores!B:B)</f>
        <v>Bitola</v>
      </c>
      <c r="I860" t="str">
        <f t="shared" si="26"/>
        <v>NORMAL</v>
      </c>
      <c r="J860" s="4" t="str">
        <f t="shared" si="27"/>
        <v>8</v>
      </c>
    </row>
    <row r="861" spans="1:10">
      <c r="A861" s="2">
        <v>860</v>
      </c>
      <c r="B861" s="3">
        <v>46265</v>
      </c>
      <c r="C861" s="2">
        <v>3</v>
      </c>
      <c r="D861" s="2">
        <v>2</v>
      </c>
      <c r="E861" s="2">
        <v>15.7</v>
      </c>
      <c r="F861" s="2">
        <v>1256</v>
      </c>
      <c r="G861" t="str">
        <f>_xlfn.XLOOKUP(C861,products!A:A,products!B:B)</f>
        <v>Orange</v>
      </c>
      <c r="H861" t="str">
        <f>_xlfn.XLOOKUP(D861,stores!A:A,stores!B:B)</f>
        <v>Ohrid</v>
      </c>
      <c r="I861" t="str">
        <f t="shared" si="26"/>
        <v>NORMAL</v>
      </c>
      <c r="J861" s="4" t="str">
        <f t="shared" si="27"/>
        <v>8</v>
      </c>
    </row>
    <row r="862" spans="1:10">
      <c r="A862" s="2">
        <v>861</v>
      </c>
      <c r="B862" s="3">
        <v>46265</v>
      </c>
      <c r="C862" s="2">
        <v>4</v>
      </c>
      <c r="D862" s="2">
        <v>1</v>
      </c>
      <c r="E862" s="2">
        <v>92.1</v>
      </c>
      <c r="F862" s="2">
        <v>2302</v>
      </c>
      <c r="G862" t="str">
        <f>_xlfn.XLOOKUP(C862,products!A:A,products!B:B)</f>
        <v>Watermelon</v>
      </c>
      <c r="H862" t="str">
        <f>_xlfn.XLOOKUP(D862,stores!A:A,stores!B:B)</f>
        <v>Bitola</v>
      </c>
      <c r="I862" t="str">
        <f t="shared" si="26"/>
        <v>BIG</v>
      </c>
      <c r="J862" s="4" t="str">
        <f t="shared" si="27"/>
        <v>8</v>
      </c>
    </row>
    <row r="863" spans="1:10">
      <c r="A863" s="2">
        <v>862</v>
      </c>
      <c r="B863" s="3">
        <v>46265</v>
      </c>
      <c r="C863" s="2">
        <v>4</v>
      </c>
      <c r="D863" s="2">
        <v>2</v>
      </c>
      <c r="E863" s="2">
        <v>101.3</v>
      </c>
      <c r="F863" s="2">
        <v>2532</v>
      </c>
      <c r="G863" t="str">
        <f>_xlfn.XLOOKUP(C863,products!A:A,products!B:B)</f>
        <v>Watermelon</v>
      </c>
      <c r="H863" t="str">
        <f>_xlfn.XLOOKUP(D863,stores!A:A,stores!B:B)</f>
        <v>Ohrid</v>
      </c>
      <c r="I863" t="str">
        <f t="shared" si="26"/>
        <v>BIG</v>
      </c>
      <c r="J863" s="4" t="str">
        <f t="shared" si="27"/>
        <v>8</v>
      </c>
    </row>
    <row r="864" spans="1:10">
      <c r="A864" s="2">
        <v>863</v>
      </c>
      <c r="B864" s="3">
        <v>46265</v>
      </c>
      <c r="C864" s="2">
        <v>5</v>
      </c>
      <c r="D864" s="2">
        <v>1</v>
      </c>
      <c r="E864" s="2">
        <v>12.8</v>
      </c>
      <c r="F864" s="2">
        <v>1408</v>
      </c>
      <c r="G864" t="str">
        <f>_xlfn.XLOOKUP(C864,products!A:A,products!B:B)</f>
        <v>Grapes</v>
      </c>
      <c r="H864" t="str">
        <f>_xlfn.XLOOKUP(D864,stores!A:A,stores!B:B)</f>
        <v>Bitola</v>
      </c>
      <c r="I864" t="str">
        <f t="shared" si="26"/>
        <v>NORMAL</v>
      </c>
      <c r="J864" s="4" t="str">
        <f t="shared" si="27"/>
        <v>8</v>
      </c>
    </row>
    <row r="865" spans="1:10">
      <c r="A865" s="2">
        <v>864</v>
      </c>
      <c r="B865" s="3">
        <v>46265</v>
      </c>
      <c r="C865" s="2">
        <v>5</v>
      </c>
      <c r="D865" s="2">
        <v>2</v>
      </c>
      <c r="E865" s="2">
        <v>13.4</v>
      </c>
      <c r="F865" s="2">
        <v>1474</v>
      </c>
      <c r="G865" t="str">
        <f>_xlfn.XLOOKUP(C865,products!A:A,products!B:B)</f>
        <v>Grapes</v>
      </c>
      <c r="H865" t="str">
        <f>_xlfn.XLOOKUP(D865,stores!A:A,stores!B:B)</f>
        <v>Ohrid</v>
      </c>
      <c r="I865" t="str">
        <f t="shared" si="26"/>
        <v>NORMAL</v>
      </c>
      <c r="J865" s="4" t="str">
        <f t="shared" si="27"/>
        <v>8</v>
      </c>
    </row>
    <row r="866" spans="1:10">
      <c r="A866" s="2">
        <v>865</v>
      </c>
      <c r="B866" s="3">
        <v>46265</v>
      </c>
      <c r="C866" s="2">
        <v>6</v>
      </c>
      <c r="D866" s="2">
        <v>1</v>
      </c>
      <c r="E866" s="2">
        <v>5.4</v>
      </c>
      <c r="F866" s="2">
        <v>1188</v>
      </c>
      <c r="G866" t="str">
        <f>_xlfn.XLOOKUP(C866,products!A:A,products!B:B)</f>
        <v>Strawberry</v>
      </c>
      <c r="H866" t="str">
        <f>_xlfn.XLOOKUP(D866,stores!A:A,stores!B:B)</f>
        <v>Bitola</v>
      </c>
      <c r="I866" t="str">
        <f t="shared" si="26"/>
        <v>NORMAL</v>
      </c>
      <c r="J866" s="4" t="str">
        <f t="shared" si="27"/>
        <v>8</v>
      </c>
    </row>
    <row r="867" spans="1:10">
      <c r="A867" s="2">
        <v>866</v>
      </c>
      <c r="B867" s="3">
        <v>46265</v>
      </c>
      <c r="C867" s="2">
        <v>6</v>
      </c>
      <c r="D867" s="2">
        <v>2</v>
      </c>
      <c r="E867" s="2">
        <v>6.6</v>
      </c>
      <c r="F867" s="2">
        <v>1452</v>
      </c>
      <c r="G867" t="str">
        <f>_xlfn.XLOOKUP(C867,products!A:A,products!B:B)</f>
        <v>Strawberry</v>
      </c>
      <c r="H867" t="str">
        <f>_xlfn.XLOOKUP(D867,stores!A:A,stores!B:B)</f>
        <v>Ohrid</v>
      </c>
      <c r="I867" t="str">
        <f t="shared" si="26"/>
        <v>NORMAL</v>
      </c>
      <c r="J867" s="4" t="str">
        <f t="shared" si="27"/>
        <v>8</v>
      </c>
    </row>
    <row r="868" spans="1:10">
      <c r="A868" s="2">
        <v>867</v>
      </c>
      <c r="B868" s="3">
        <v>46265</v>
      </c>
      <c r="C868" s="2">
        <v>7</v>
      </c>
      <c r="D868" s="2">
        <v>1</v>
      </c>
      <c r="E868" s="2">
        <v>24.6</v>
      </c>
      <c r="F868" s="2">
        <v>2337</v>
      </c>
      <c r="G868" t="str">
        <f>_xlfn.XLOOKUP(C868,products!A:A,products!B:B)</f>
        <v>Peach</v>
      </c>
      <c r="H868" t="str">
        <f>_xlfn.XLOOKUP(D868,stores!A:A,stores!B:B)</f>
        <v>Bitola</v>
      </c>
      <c r="I868" t="str">
        <f t="shared" si="26"/>
        <v>NORMAL</v>
      </c>
      <c r="J868" s="4" t="str">
        <f t="shared" si="27"/>
        <v>8</v>
      </c>
    </row>
    <row r="869" spans="1:10">
      <c r="A869" s="2">
        <v>868</v>
      </c>
      <c r="B869" s="3">
        <v>46265</v>
      </c>
      <c r="C869" s="2">
        <v>7</v>
      </c>
      <c r="D869" s="2">
        <v>2</v>
      </c>
      <c r="E869" s="2">
        <v>46.3</v>
      </c>
      <c r="F869" s="2">
        <v>4398</v>
      </c>
      <c r="G869" t="str">
        <f>_xlfn.XLOOKUP(C869,products!A:A,products!B:B)</f>
        <v>Peach</v>
      </c>
      <c r="H869" t="str">
        <f>_xlfn.XLOOKUP(D869,stores!A:A,stores!B:B)</f>
        <v>Ohrid</v>
      </c>
      <c r="I869" t="str">
        <f t="shared" si="26"/>
        <v>NORMAL</v>
      </c>
      <c r="J869" s="4" t="str">
        <f t="shared" si="27"/>
        <v>8</v>
      </c>
    </row>
    <row r="870" spans="1:10">
      <c r="A870" s="2">
        <v>869</v>
      </c>
      <c r="B870" s="3">
        <v>46266</v>
      </c>
      <c r="C870" s="2">
        <v>1</v>
      </c>
      <c r="D870" s="2">
        <v>1</v>
      </c>
      <c r="E870" s="2">
        <v>36.8</v>
      </c>
      <c r="F870" s="2">
        <v>2208</v>
      </c>
      <c r="G870" t="str">
        <f>_xlfn.XLOOKUP(C870,products!A:A,products!B:B)</f>
        <v>Apple</v>
      </c>
      <c r="H870" t="str">
        <f>_xlfn.XLOOKUP(D870,stores!A:A,stores!B:B)</f>
        <v>Bitola</v>
      </c>
      <c r="I870" t="str">
        <f t="shared" si="26"/>
        <v>NORMAL</v>
      </c>
      <c r="J870" s="4" t="str">
        <f t="shared" si="27"/>
        <v>9</v>
      </c>
    </row>
    <row r="871" spans="1:10">
      <c r="A871" s="2">
        <v>870</v>
      </c>
      <c r="B871" s="3">
        <v>46266</v>
      </c>
      <c r="C871" s="2">
        <v>1</v>
      </c>
      <c r="D871" s="2">
        <v>2</v>
      </c>
      <c r="E871" s="2">
        <v>34.4</v>
      </c>
      <c r="F871" s="2">
        <v>2064</v>
      </c>
      <c r="G871" t="str">
        <f>_xlfn.XLOOKUP(C871,products!A:A,products!B:B)</f>
        <v>Apple</v>
      </c>
      <c r="H871" t="str">
        <f>_xlfn.XLOOKUP(D871,stores!A:A,stores!B:B)</f>
        <v>Ohrid</v>
      </c>
      <c r="I871" t="str">
        <f t="shared" si="26"/>
        <v>NORMAL</v>
      </c>
      <c r="J871" s="4" t="str">
        <f t="shared" si="27"/>
        <v>9</v>
      </c>
    </row>
    <row r="872" spans="1:10">
      <c r="A872" s="2">
        <v>871</v>
      </c>
      <c r="B872" s="3">
        <v>46266</v>
      </c>
      <c r="C872" s="2">
        <v>2</v>
      </c>
      <c r="D872" s="2">
        <v>1</v>
      </c>
      <c r="E872" s="2">
        <v>17.6</v>
      </c>
      <c r="F872" s="2">
        <v>1584</v>
      </c>
      <c r="G872" t="str">
        <f>_xlfn.XLOOKUP(C872,products!A:A,products!B:B)</f>
        <v>Banana</v>
      </c>
      <c r="H872" t="str">
        <f>_xlfn.XLOOKUP(D872,stores!A:A,stores!B:B)</f>
        <v>Bitola</v>
      </c>
      <c r="I872" t="str">
        <f t="shared" si="26"/>
        <v>NORMAL</v>
      </c>
      <c r="J872" s="4" t="str">
        <f t="shared" si="27"/>
        <v>9</v>
      </c>
    </row>
    <row r="873" spans="1:10">
      <c r="A873" s="2">
        <v>872</v>
      </c>
      <c r="B873" s="3">
        <v>46266</v>
      </c>
      <c r="C873" s="2">
        <v>2</v>
      </c>
      <c r="D873" s="2">
        <v>2</v>
      </c>
      <c r="E873" s="2">
        <v>20.1</v>
      </c>
      <c r="F873" s="2">
        <v>1809</v>
      </c>
      <c r="G873" t="str">
        <f>_xlfn.XLOOKUP(C873,products!A:A,products!B:B)</f>
        <v>Banana</v>
      </c>
      <c r="H873" t="str">
        <f>_xlfn.XLOOKUP(D873,stores!A:A,stores!B:B)</f>
        <v>Ohrid</v>
      </c>
      <c r="I873" t="str">
        <f t="shared" si="26"/>
        <v>NORMAL</v>
      </c>
      <c r="J873" s="4" t="str">
        <f t="shared" si="27"/>
        <v>9</v>
      </c>
    </row>
    <row r="874" spans="1:10">
      <c r="A874" s="2">
        <v>873</v>
      </c>
      <c r="B874" s="3">
        <v>46266</v>
      </c>
      <c r="C874" s="2">
        <v>3</v>
      </c>
      <c r="D874" s="2">
        <v>1</v>
      </c>
      <c r="E874" s="2">
        <v>14.5</v>
      </c>
      <c r="F874" s="2">
        <v>1160</v>
      </c>
      <c r="G874" t="str">
        <f>_xlfn.XLOOKUP(C874,products!A:A,products!B:B)</f>
        <v>Orange</v>
      </c>
      <c r="H874" t="str">
        <f>_xlfn.XLOOKUP(D874,stores!A:A,stores!B:B)</f>
        <v>Bitola</v>
      </c>
      <c r="I874" t="str">
        <f t="shared" si="26"/>
        <v>NORMAL</v>
      </c>
      <c r="J874" s="4" t="str">
        <f t="shared" si="27"/>
        <v>9</v>
      </c>
    </row>
    <row r="875" spans="1:10">
      <c r="A875" s="2">
        <v>874</v>
      </c>
      <c r="B875" s="3">
        <v>46266</v>
      </c>
      <c r="C875" s="2">
        <v>3</v>
      </c>
      <c r="D875" s="2">
        <v>2</v>
      </c>
      <c r="E875" s="2">
        <v>13.5</v>
      </c>
      <c r="F875" s="2">
        <v>1080</v>
      </c>
      <c r="G875" t="str">
        <f>_xlfn.XLOOKUP(C875,products!A:A,products!B:B)</f>
        <v>Orange</v>
      </c>
      <c r="H875" t="str">
        <f>_xlfn.XLOOKUP(D875,stores!A:A,stores!B:B)</f>
        <v>Ohrid</v>
      </c>
      <c r="I875" t="str">
        <f t="shared" si="26"/>
        <v>NORMAL</v>
      </c>
      <c r="J875" s="4" t="str">
        <f t="shared" si="27"/>
        <v>9</v>
      </c>
    </row>
    <row r="876" spans="1:10">
      <c r="A876" s="2">
        <v>875</v>
      </c>
      <c r="B876" s="3">
        <v>46266</v>
      </c>
      <c r="C876" s="2">
        <v>4</v>
      </c>
      <c r="D876" s="2">
        <v>1</v>
      </c>
      <c r="E876" s="2">
        <v>35.7</v>
      </c>
      <c r="F876" s="2">
        <v>893</v>
      </c>
      <c r="G876" t="str">
        <f>_xlfn.XLOOKUP(C876,products!A:A,products!B:B)</f>
        <v>Watermelon</v>
      </c>
      <c r="H876" t="str">
        <f>_xlfn.XLOOKUP(D876,stores!A:A,stores!B:B)</f>
        <v>Bitola</v>
      </c>
      <c r="I876" t="str">
        <f t="shared" si="26"/>
        <v>NORMAL</v>
      </c>
      <c r="J876" s="4" t="str">
        <f t="shared" si="27"/>
        <v>9</v>
      </c>
    </row>
    <row r="877" spans="1:10">
      <c r="A877" s="2">
        <v>876</v>
      </c>
      <c r="B877" s="3">
        <v>46266</v>
      </c>
      <c r="C877" s="2">
        <v>4</v>
      </c>
      <c r="D877" s="2">
        <v>2</v>
      </c>
      <c r="E877" s="2">
        <v>21.6</v>
      </c>
      <c r="F877" s="2">
        <v>540</v>
      </c>
      <c r="G877" t="str">
        <f>_xlfn.XLOOKUP(C877,products!A:A,products!B:B)</f>
        <v>Watermelon</v>
      </c>
      <c r="H877" t="str">
        <f>_xlfn.XLOOKUP(D877,stores!A:A,stores!B:B)</f>
        <v>Ohrid</v>
      </c>
      <c r="I877" t="str">
        <f t="shared" si="26"/>
        <v>NORMAL</v>
      </c>
      <c r="J877" s="4" t="str">
        <f t="shared" si="27"/>
        <v>9</v>
      </c>
    </row>
    <row r="878" spans="1:10">
      <c r="A878" s="2">
        <v>877</v>
      </c>
      <c r="B878" s="3">
        <v>46266</v>
      </c>
      <c r="C878" s="2">
        <v>5</v>
      </c>
      <c r="D878" s="2">
        <v>1</v>
      </c>
      <c r="E878" s="2">
        <v>28.7</v>
      </c>
      <c r="F878" s="2">
        <v>3157</v>
      </c>
      <c r="G878" t="str">
        <f>_xlfn.XLOOKUP(C878,products!A:A,products!B:B)</f>
        <v>Grapes</v>
      </c>
      <c r="H878" t="str">
        <f>_xlfn.XLOOKUP(D878,stores!A:A,stores!B:B)</f>
        <v>Bitola</v>
      </c>
      <c r="I878" t="str">
        <f t="shared" si="26"/>
        <v>NORMAL</v>
      </c>
      <c r="J878" s="4" t="str">
        <f t="shared" si="27"/>
        <v>9</v>
      </c>
    </row>
    <row r="879" spans="1:10">
      <c r="A879" s="2">
        <v>878</v>
      </c>
      <c r="B879" s="3">
        <v>46266</v>
      </c>
      <c r="C879" s="2">
        <v>5</v>
      </c>
      <c r="D879" s="2">
        <v>2</v>
      </c>
      <c r="E879" s="2">
        <v>36.3</v>
      </c>
      <c r="F879" s="2">
        <v>3993</v>
      </c>
      <c r="G879" t="str">
        <f>_xlfn.XLOOKUP(C879,products!A:A,products!B:B)</f>
        <v>Grapes</v>
      </c>
      <c r="H879" t="str">
        <f>_xlfn.XLOOKUP(D879,stores!A:A,stores!B:B)</f>
        <v>Ohrid</v>
      </c>
      <c r="I879" t="str">
        <f t="shared" si="26"/>
        <v>NORMAL</v>
      </c>
      <c r="J879" s="4" t="str">
        <f t="shared" si="27"/>
        <v>9</v>
      </c>
    </row>
    <row r="880" spans="1:10">
      <c r="A880" s="2">
        <v>879</v>
      </c>
      <c r="B880" s="3">
        <v>46266</v>
      </c>
      <c r="C880" s="2">
        <v>6</v>
      </c>
      <c r="D880" s="2">
        <v>1</v>
      </c>
      <c r="E880" s="2">
        <v>2.3</v>
      </c>
      <c r="F880" s="2">
        <v>506</v>
      </c>
      <c r="G880" t="str">
        <f>_xlfn.XLOOKUP(C880,products!A:A,products!B:B)</f>
        <v>Strawberry</v>
      </c>
      <c r="H880" t="str">
        <f>_xlfn.XLOOKUP(D880,stores!A:A,stores!B:B)</f>
        <v>Bitola</v>
      </c>
      <c r="I880" t="str">
        <f t="shared" si="26"/>
        <v>NORMAL</v>
      </c>
      <c r="J880" s="4" t="str">
        <f t="shared" si="27"/>
        <v>9</v>
      </c>
    </row>
    <row r="881" spans="1:10">
      <c r="A881" s="2">
        <v>880</v>
      </c>
      <c r="B881" s="3">
        <v>46266</v>
      </c>
      <c r="C881" s="2">
        <v>6</v>
      </c>
      <c r="D881" s="2">
        <v>2</v>
      </c>
      <c r="E881" s="2">
        <v>2.1</v>
      </c>
      <c r="F881" s="2">
        <v>462</v>
      </c>
      <c r="G881" t="str">
        <f>_xlfn.XLOOKUP(C881,products!A:A,products!B:B)</f>
        <v>Strawberry</v>
      </c>
      <c r="H881" t="str">
        <f>_xlfn.XLOOKUP(D881,stores!A:A,stores!B:B)</f>
        <v>Ohrid</v>
      </c>
      <c r="I881" t="str">
        <f t="shared" si="26"/>
        <v>NORMAL</v>
      </c>
      <c r="J881" s="4" t="str">
        <f t="shared" si="27"/>
        <v>9</v>
      </c>
    </row>
    <row r="882" spans="1:10">
      <c r="A882" s="2">
        <v>881</v>
      </c>
      <c r="B882" s="3">
        <v>46266</v>
      </c>
      <c r="C882" s="2">
        <v>7</v>
      </c>
      <c r="D882" s="2">
        <v>1</v>
      </c>
      <c r="E882" s="2">
        <v>10</v>
      </c>
      <c r="F882" s="2">
        <v>950</v>
      </c>
      <c r="G882" t="str">
        <f>_xlfn.XLOOKUP(C882,products!A:A,products!B:B)</f>
        <v>Peach</v>
      </c>
      <c r="H882" t="str">
        <f>_xlfn.XLOOKUP(D882,stores!A:A,stores!B:B)</f>
        <v>Bitola</v>
      </c>
      <c r="I882" t="str">
        <f t="shared" si="26"/>
        <v>NORMAL</v>
      </c>
      <c r="J882" s="4" t="str">
        <f t="shared" si="27"/>
        <v>9</v>
      </c>
    </row>
    <row r="883" spans="1:10">
      <c r="A883" s="2">
        <v>882</v>
      </c>
      <c r="B883" s="3">
        <v>46266</v>
      </c>
      <c r="C883" s="2">
        <v>7</v>
      </c>
      <c r="D883" s="2">
        <v>2</v>
      </c>
      <c r="E883" s="2">
        <v>10.4</v>
      </c>
      <c r="F883" s="2">
        <v>988</v>
      </c>
      <c r="G883" t="str">
        <f>_xlfn.XLOOKUP(C883,products!A:A,products!B:B)</f>
        <v>Peach</v>
      </c>
      <c r="H883" t="str">
        <f>_xlfn.XLOOKUP(D883,stores!A:A,stores!B:B)</f>
        <v>Ohrid</v>
      </c>
      <c r="I883" t="str">
        <f t="shared" si="26"/>
        <v>NORMAL</v>
      </c>
      <c r="J883" s="4" t="str">
        <f t="shared" si="27"/>
        <v>9</v>
      </c>
    </row>
    <row r="884" spans="1:10">
      <c r="A884" s="2">
        <v>883</v>
      </c>
      <c r="B884" s="3">
        <v>46267</v>
      </c>
      <c r="C884" s="2">
        <v>1</v>
      </c>
      <c r="D884" s="2">
        <v>1</v>
      </c>
      <c r="E884" s="2">
        <v>43.5</v>
      </c>
      <c r="F884" s="2">
        <v>2610</v>
      </c>
      <c r="G884" t="str">
        <f>_xlfn.XLOOKUP(C884,products!A:A,products!B:B)</f>
        <v>Apple</v>
      </c>
      <c r="H884" t="str">
        <f>_xlfn.XLOOKUP(D884,stores!A:A,stores!B:B)</f>
        <v>Bitola</v>
      </c>
      <c r="I884" t="str">
        <f t="shared" si="26"/>
        <v>NORMAL</v>
      </c>
      <c r="J884" s="4" t="str">
        <f t="shared" si="27"/>
        <v>9</v>
      </c>
    </row>
    <row r="885" spans="1:10">
      <c r="A885" s="2">
        <v>884</v>
      </c>
      <c r="B885" s="3">
        <v>46267</v>
      </c>
      <c r="C885" s="2">
        <v>1</v>
      </c>
      <c r="D885" s="2">
        <v>2</v>
      </c>
      <c r="E885" s="2">
        <v>29.4</v>
      </c>
      <c r="F885" s="2">
        <v>1764</v>
      </c>
      <c r="G885" t="str">
        <f>_xlfn.XLOOKUP(C885,products!A:A,products!B:B)</f>
        <v>Apple</v>
      </c>
      <c r="H885" t="str">
        <f>_xlfn.XLOOKUP(D885,stores!A:A,stores!B:B)</f>
        <v>Ohrid</v>
      </c>
      <c r="I885" t="str">
        <f t="shared" si="26"/>
        <v>NORMAL</v>
      </c>
      <c r="J885" s="4" t="str">
        <f t="shared" si="27"/>
        <v>9</v>
      </c>
    </row>
    <row r="886" spans="1:10">
      <c r="A886" s="2">
        <v>885</v>
      </c>
      <c r="B886" s="3">
        <v>46267</v>
      </c>
      <c r="C886" s="2">
        <v>2</v>
      </c>
      <c r="D886" s="2">
        <v>1</v>
      </c>
      <c r="E886" s="2">
        <v>32.4</v>
      </c>
      <c r="F886" s="2">
        <v>2916</v>
      </c>
      <c r="G886" t="str">
        <f>_xlfn.XLOOKUP(C886,products!A:A,products!B:B)</f>
        <v>Banana</v>
      </c>
      <c r="H886" t="str">
        <f>_xlfn.XLOOKUP(D886,stores!A:A,stores!B:B)</f>
        <v>Bitola</v>
      </c>
      <c r="I886" t="str">
        <f t="shared" si="26"/>
        <v>NORMAL</v>
      </c>
      <c r="J886" s="4" t="str">
        <f t="shared" si="27"/>
        <v>9</v>
      </c>
    </row>
    <row r="887" spans="1:10">
      <c r="A887" s="2">
        <v>886</v>
      </c>
      <c r="B887" s="3">
        <v>46267</v>
      </c>
      <c r="C887" s="2">
        <v>2</v>
      </c>
      <c r="D887" s="2">
        <v>2</v>
      </c>
      <c r="E887" s="2">
        <v>19.3</v>
      </c>
      <c r="F887" s="2">
        <v>1737</v>
      </c>
      <c r="G887" t="str">
        <f>_xlfn.XLOOKUP(C887,products!A:A,products!B:B)</f>
        <v>Banana</v>
      </c>
      <c r="H887" t="str">
        <f>_xlfn.XLOOKUP(D887,stores!A:A,stores!B:B)</f>
        <v>Ohrid</v>
      </c>
      <c r="I887" t="str">
        <f t="shared" si="26"/>
        <v>NORMAL</v>
      </c>
      <c r="J887" s="4" t="str">
        <f t="shared" si="27"/>
        <v>9</v>
      </c>
    </row>
    <row r="888" spans="1:10">
      <c r="A888" s="2">
        <v>887</v>
      </c>
      <c r="B888" s="3">
        <v>46267</v>
      </c>
      <c r="C888" s="2">
        <v>3</v>
      </c>
      <c r="D888" s="2">
        <v>1</v>
      </c>
      <c r="E888" s="2">
        <v>15.7</v>
      </c>
      <c r="F888" s="2">
        <v>1256</v>
      </c>
      <c r="G888" t="str">
        <f>_xlfn.XLOOKUP(C888,products!A:A,products!B:B)</f>
        <v>Orange</v>
      </c>
      <c r="H888" t="str">
        <f>_xlfn.XLOOKUP(D888,stores!A:A,stores!B:B)</f>
        <v>Bitola</v>
      </c>
      <c r="I888" t="str">
        <f t="shared" si="26"/>
        <v>NORMAL</v>
      </c>
      <c r="J888" s="4" t="str">
        <f t="shared" si="27"/>
        <v>9</v>
      </c>
    </row>
    <row r="889" spans="1:10">
      <c r="A889" s="2">
        <v>888</v>
      </c>
      <c r="B889" s="3">
        <v>46267</v>
      </c>
      <c r="C889" s="2">
        <v>3</v>
      </c>
      <c r="D889" s="2">
        <v>2</v>
      </c>
      <c r="E889" s="2">
        <v>14.9</v>
      </c>
      <c r="F889" s="2">
        <v>1192</v>
      </c>
      <c r="G889" t="str">
        <f>_xlfn.XLOOKUP(C889,products!A:A,products!B:B)</f>
        <v>Orange</v>
      </c>
      <c r="H889" t="str">
        <f>_xlfn.XLOOKUP(D889,stores!A:A,stores!B:B)</f>
        <v>Ohrid</v>
      </c>
      <c r="I889" t="str">
        <f t="shared" si="26"/>
        <v>NORMAL</v>
      </c>
      <c r="J889" s="4" t="str">
        <f t="shared" si="27"/>
        <v>9</v>
      </c>
    </row>
    <row r="890" spans="1:10">
      <c r="A890" s="2">
        <v>889</v>
      </c>
      <c r="B890" s="3">
        <v>46267</v>
      </c>
      <c r="C890" s="2">
        <v>4</v>
      </c>
      <c r="D890" s="2">
        <v>1</v>
      </c>
      <c r="E890" s="2">
        <v>25.5</v>
      </c>
      <c r="F890" s="2">
        <v>638</v>
      </c>
      <c r="G890" t="str">
        <f>_xlfn.XLOOKUP(C890,products!A:A,products!B:B)</f>
        <v>Watermelon</v>
      </c>
      <c r="H890" t="str">
        <f>_xlfn.XLOOKUP(D890,stores!A:A,stores!B:B)</f>
        <v>Bitola</v>
      </c>
      <c r="I890" t="str">
        <f t="shared" si="26"/>
        <v>NORMAL</v>
      </c>
      <c r="J890" s="4" t="str">
        <f t="shared" si="27"/>
        <v>9</v>
      </c>
    </row>
    <row r="891" spans="1:10">
      <c r="A891" s="2">
        <v>890</v>
      </c>
      <c r="B891" s="3">
        <v>46267</v>
      </c>
      <c r="C891" s="2">
        <v>4</v>
      </c>
      <c r="D891" s="2">
        <v>2</v>
      </c>
      <c r="E891" s="2">
        <v>32.9</v>
      </c>
      <c r="F891" s="2">
        <v>822</v>
      </c>
      <c r="G891" t="str">
        <f>_xlfn.XLOOKUP(C891,products!A:A,products!B:B)</f>
        <v>Watermelon</v>
      </c>
      <c r="H891" t="str">
        <f>_xlfn.XLOOKUP(D891,stores!A:A,stores!B:B)</f>
        <v>Ohrid</v>
      </c>
      <c r="I891" t="str">
        <f t="shared" si="26"/>
        <v>NORMAL</v>
      </c>
      <c r="J891" s="4" t="str">
        <f t="shared" si="27"/>
        <v>9</v>
      </c>
    </row>
    <row r="892" spans="1:10">
      <c r="A892" s="2">
        <v>891</v>
      </c>
      <c r="B892" s="3">
        <v>46267</v>
      </c>
      <c r="C892" s="2">
        <v>5</v>
      </c>
      <c r="D892" s="2">
        <v>1</v>
      </c>
      <c r="E892" s="2">
        <v>24.2</v>
      </c>
      <c r="F892" s="2">
        <v>2662</v>
      </c>
      <c r="G892" t="str">
        <f>_xlfn.XLOOKUP(C892,products!A:A,products!B:B)</f>
        <v>Grapes</v>
      </c>
      <c r="H892" t="str">
        <f>_xlfn.XLOOKUP(D892,stores!A:A,stores!B:B)</f>
        <v>Bitola</v>
      </c>
      <c r="I892" t="str">
        <f t="shared" si="26"/>
        <v>NORMAL</v>
      </c>
      <c r="J892" s="4" t="str">
        <f t="shared" si="27"/>
        <v>9</v>
      </c>
    </row>
    <row r="893" spans="1:10">
      <c r="A893" s="2">
        <v>892</v>
      </c>
      <c r="B893" s="3">
        <v>46267</v>
      </c>
      <c r="C893" s="2">
        <v>5</v>
      </c>
      <c r="D893" s="2">
        <v>2</v>
      </c>
      <c r="E893" s="2">
        <v>21.1</v>
      </c>
      <c r="F893" s="2">
        <v>2321</v>
      </c>
      <c r="G893" t="str">
        <f>_xlfn.XLOOKUP(C893,products!A:A,products!B:B)</f>
        <v>Grapes</v>
      </c>
      <c r="H893" t="str">
        <f>_xlfn.XLOOKUP(D893,stores!A:A,stores!B:B)</f>
        <v>Ohrid</v>
      </c>
      <c r="I893" t="str">
        <f t="shared" si="26"/>
        <v>NORMAL</v>
      </c>
      <c r="J893" s="4" t="str">
        <f t="shared" si="27"/>
        <v>9</v>
      </c>
    </row>
    <row r="894" spans="1:10">
      <c r="A894" s="2">
        <v>893</v>
      </c>
      <c r="B894" s="3">
        <v>46267</v>
      </c>
      <c r="C894" s="2">
        <v>6</v>
      </c>
      <c r="D894" s="2">
        <v>1</v>
      </c>
      <c r="E894" s="2">
        <v>2</v>
      </c>
      <c r="F894" s="2">
        <v>440</v>
      </c>
      <c r="G894" t="str">
        <f>_xlfn.XLOOKUP(C894,products!A:A,products!B:B)</f>
        <v>Strawberry</v>
      </c>
      <c r="H894" t="str">
        <f>_xlfn.XLOOKUP(D894,stores!A:A,stores!B:B)</f>
        <v>Bitola</v>
      </c>
      <c r="I894" t="str">
        <f t="shared" si="26"/>
        <v>NORMAL</v>
      </c>
      <c r="J894" s="4" t="str">
        <f t="shared" si="27"/>
        <v>9</v>
      </c>
    </row>
    <row r="895" spans="1:10">
      <c r="A895" s="2">
        <v>894</v>
      </c>
      <c r="B895" s="3">
        <v>46267</v>
      </c>
      <c r="C895" s="2">
        <v>6</v>
      </c>
      <c r="D895" s="2">
        <v>2</v>
      </c>
      <c r="E895" s="2">
        <v>2.5</v>
      </c>
      <c r="F895" s="2">
        <v>550</v>
      </c>
      <c r="G895" t="str">
        <f>_xlfn.XLOOKUP(C895,products!A:A,products!B:B)</f>
        <v>Strawberry</v>
      </c>
      <c r="H895" t="str">
        <f>_xlfn.XLOOKUP(D895,stores!A:A,stores!B:B)</f>
        <v>Ohrid</v>
      </c>
      <c r="I895" t="str">
        <f t="shared" si="26"/>
        <v>NORMAL</v>
      </c>
      <c r="J895" s="4" t="str">
        <f t="shared" si="27"/>
        <v>9</v>
      </c>
    </row>
    <row r="896" spans="1:10">
      <c r="A896" s="2">
        <v>895</v>
      </c>
      <c r="B896" s="3">
        <v>46267</v>
      </c>
      <c r="C896" s="2">
        <v>7</v>
      </c>
      <c r="D896" s="2">
        <v>1</v>
      </c>
      <c r="E896" s="2">
        <v>10.6</v>
      </c>
      <c r="F896" s="2">
        <v>1007</v>
      </c>
      <c r="G896" t="str">
        <f>_xlfn.XLOOKUP(C896,products!A:A,products!B:B)</f>
        <v>Peach</v>
      </c>
      <c r="H896" t="str">
        <f>_xlfn.XLOOKUP(D896,stores!A:A,stores!B:B)</f>
        <v>Bitola</v>
      </c>
      <c r="I896" t="str">
        <f t="shared" si="26"/>
        <v>NORMAL</v>
      </c>
      <c r="J896" s="4" t="str">
        <f t="shared" si="27"/>
        <v>9</v>
      </c>
    </row>
    <row r="897" spans="1:10">
      <c r="A897" s="2">
        <v>896</v>
      </c>
      <c r="B897" s="3">
        <v>46267</v>
      </c>
      <c r="C897" s="2">
        <v>7</v>
      </c>
      <c r="D897" s="2">
        <v>2</v>
      </c>
      <c r="E897" s="2">
        <v>10.7</v>
      </c>
      <c r="F897" s="2">
        <v>1016</v>
      </c>
      <c r="G897" t="str">
        <f>_xlfn.XLOOKUP(C897,products!A:A,products!B:B)</f>
        <v>Peach</v>
      </c>
      <c r="H897" t="str">
        <f>_xlfn.XLOOKUP(D897,stores!A:A,stores!B:B)</f>
        <v>Ohrid</v>
      </c>
      <c r="I897" t="str">
        <f t="shared" si="26"/>
        <v>NORMAL</v>
      </c>
      <c r="J897" s="4" t="str">
        <f t="shared" si="27"/>
        <v>9</v>
      </c>
    </row>
    <row r="898" spans="1:10">
      <c r="A898" s="2">
        <v>897</v>
      </c>
      <c r="B898" s="3">
        <v>46268</v>
      </c>
      <c r="C898" s="2">
        <v>1</v>
      </c>
      <c r="D898" s="2">
        <v>1</v>
      </c>
      <c r="E898" s="2">
        <v>27.3</v>
      </c>
      <c r="F898" s="2">
        <v>1638</v>
      </c>
      <c r="G898" t="str">
        <f>_xlfn.XLOOKUP(C898,products!A:A,products!B:B)</f>
        <v>Apple</v>
      </c>
      <c r="H898" t="str">
        <f>_xlfn.XLOOKUP(D898,stores!A:A,stores!B:B)</f>
        <v>Bitola</v>
      </c>
      <c r="I898" t="str">
        <f t="shared" ref="I898:I961" si="28">IF(E898&gt;50,"BIG","NORMAL")</f>
        <v>NORMAL</v>
      </c>
      <c r="J898" s="4" t="str">
        <f t="shared" ref="J898:J961" si="29">TEXT(B898,"m")</f>
        <v>9</v>
      </c>
    </row>
    <row r="899" spans="1:10">
      <c r="A899" s="2">
        <v>898</v>
      </c>
      <c r="B899" s="3">
        <v>46268</v>
      </c>
      <c r="C899" s="2">
        <v>1</v>
      </c>
      <c r="D899" s="2">
        <v>2</v>
      </c>
      <c r="E899" s="2">
        <v>29.2</v>
      </c>
      <c r="F899" s="2">
        <v>1752</v>
      </c>
      <c r="G899" t="str">
        <f>_xlfn.XLOOKUP(C899,products!A:A,products!B:B)</f>
        <v>Apple</v>
      </c>
      <c r="H899" t="str">
        <f>_xlfn.XLOOKUP(D899,stores!A:A,stores!B:B)</f>
        <v>Ohrid</v>
      </c>
      <c r="I899" t="str">
        <f t="shared" si="28"/>
        <v>NORMAL</v>
      </c>
      <c r="J899" s="4" t="str">
        <f t="shared" si="29"/>
        <v>9</v>
      </c>
    </row>
    <row r="900" spans="1:10">
      <c r="A900" s="2">
        <v>899</v>
      </c>
      <c r="B900" s="3">
        <v>46268</v>
      </c>
      <c r="C900" s="2">
        <v>2</v>
      </c>
      <c r="D900" s="2">
        <v>1</v>
      </c>
      <c r="E900" s="2">
        <v>19.9</v>
      </c>
      <c r="F900" s="2">
        <v>1791</v>
      </c>
      <c r="G900" t="str">
        <f>_xlfn.XLOOKUP(C900,products!A:A,products!B:B)</f>
        <v>Banana</v>
      </c>
      <c r="H900" t="str">
        <f>_xlfn.XLOOKUP(D900,stores!A:A,stores!B:B)</f>
        <v>Bitola</v>
      </c>
      <c r="I900" t="str">
        <f t="shared" si="28"/>
        <v>NORMAL</v>
      </c>
      <c r="J900" s="4" t="str">
        <f t="shared" si="29"/>
        <v>9</v>
      </c>
    </row>
    <row r="901" spans="1:10">
      <c r="A901" s="2">
        <v>900</v>
      </c>
      <c r="B901" s="3">
        <v>46268</v>
      </c>
      <c r="C901" s="2">
        <v>2</v>
      </c>
      <c r="D901" s="2">
        <v>2</v>
      </c>
      <c r="E901" s="2">
        <v>20.7</v>
      </c>
      <c r="F901" s="2">
        <v>1863</v>
      </c>
      <c r="G901" t="str">
        <f>_xlfn.XLOOKUP(C901,products!A:A,products!B:B)</f>
        <v>Banana</v>
      </c>
      <c r="H901" t="str">
        <f>_xlfn.XLOOKUP(D901,stores!A:A,stores!B:B)</f>
        <v>Ohrid</v>
      </c>
      <c r="I901" t="str">
        <f t="shared" si="28"/>
        <v>NORMAL</v>
      </c>
      <c r="J901" s="4" t="str">
        <f t="shared" si="29"/>
        <v>9</v>
      </c>
    </row>
    <row r="902" spans="1:10">
      <c r="A902" s="2">
        <v>901</v>
      </c>
      <c r="B902" s="3">
        <v>46268</v>
      </c>
      <c r="C902" s="2">
        <v>3</v>
      </c>
      <c r="D902" s="2">
        <v>1</v>
      </c>
      <c r="E902" s="2">
        <v>16.3</v>
      </c>
      <c r="F902" s="2">
        <v>1304</v>
      </c>
      <c r="G902" t="str">
        <f>_xlfn.XLOOKUP(C902,products!A:A,products!B:B)</f>
        <v>Orange</v>
      </c>
      <c r="H902" t="str">
        <f>_xlfn.XLOOKUP(D902,stores!A:A,stores!B:B)</f>
        <v>Bitola</v>
      </c>
      <c r="I902" t="str">
        <f t="shared" si="28"/>
        <v>NORMAL</v>
      </c>
      <c r="J902" s="4" t="str">
        <f t="shared" si="29"/>
        <v>9</v>
      </c>
    </row>
    <row r="903" spans="1:10">
      <c r="A903" s="2">
        <v>902</v>
      </c>
      <c r="B903" s="3">
        <v>46268</v>
      </c>
      <c r="C903" s="2">
        <v>3</v>
      </c>
      <c r="D903" s="2">
        <v>2</v>
      </c>
      <c r="E903" s="2">
        <v>12.5</v>
      </c>
      <c r="F903" s="2">
        <v>1000</v>
      </c>
      <c r="G903" t="str">
        <f>_xlfn.XLOOKUP(C903,products!A:A,products!B:B)</f>
        <v>Orange</v>
      </c>
      <c r="H903" t="str">
        <f>_xlfn.XLOOKUP(D903,stores!A:A,stores!B:B)</f>
        <v>Ohrid</v>
      </c>
      <c r="I903" t="str">
        <f t="shared" si="28"/>
        <v>NORMAL</v>
      </c>
      <c r="J903" s="4" t="str">
        <f t="shared" si="29"/>
        <v>9</v>
      </c>
    </row>
    <row r="904" spans="1:10">
      <c r="A904" s="2">
        <v>903</v>
      </c>
      <c r="B904" s="3">
        <v>46268</v>
      </c>
      <c r="C904" s="2">
        <v>4</v>
      </c>
      <c r="D904" s="2">
        <v>1</v>
      </c>
      <c r="E904" s="2">
        <v>38.7</v>
      </c>
      <c r="F904" s="2">
        <v>968</v>
      </c>
      <c r="G904" t="str">
        <f>_xlfn.XLOOKUP(C904,products!A:A,products!B:B)</f>
        <v>Watermelon</v>
      </c>
      <c r="H904" t="str">
        <f>_xlfn.XLOOKUP(D904,stores!A:A,stores!B:B)</f>
        <v>Bitola</v>
      </c>
      <c r="I904" t="str">
        <f t="shared" si="28"/>
        <v>NORMAL</v>
      </c>
      <c r="J904" s="4" t="str">
        <f t="shared" si="29"/>
        <v>9</v>
      </c>
    </row>
    <row r="905" spans="1:10">
      <c r="A905" s="2">
        <v>904</v>
      </c>
      <c r="B905" s="3">
        <v>46268</v>
      </c>
      <c r="C905" s="2">
        <v>4</v>
      </c>
      <c r="D905" s="2">
        <v>2</v>
      </c>
      <c r="E905" s="2">
        <v>25.9</v>
      </c>
      <c r="F905" s="2">
        <v>648</v>
      </c>
      <c r="G905" t="str">
        <f>_xlfn.XLOOKUP(C905,products!A:A,products!B:B)</f>
        <v>Watermelon</v>
      </c>
      <c r="H905" t="str">
        <f>_xlfn.XLOOKUP(D905,stores!A:A,stores!B:B)</f>
        <v>Ohrid</v>
      </c>
      <c r="I905" t="str">
        <f t="shared" si="28"/>
        <v>NORMAL</v>
      </c>
      <c r="J905" s="4" t="str">
        <f t="shared" si="29"/>
        <v>9</v>
      </c>
    </row>
    <row r="906" spans="1:10">
      <c r="A906" s="2">
        <v>905</v>
      </c>
      <c r="B906" s="3">
        <v>46268</v>
      </c>
      <c r="C906" s="2">
        <v>5</v>
      </c>
      <c r="D906" s="2">
        <v>1</v>
      </c>
      <c r="E906" s="2">
        <v>26.9</v>
      </c>
      <c r="F906" s="2">
        <v>2959</v>
      </c>
      <c r="G906" t="str">
        <f>_xlfn.XLOOKUP(C906,products!A:A,products!B:B)</f>
        <v>Grapes</v>
      </c>
      <c r="H906" t="str">
        <f>_xlfn.XLOOKUP(D906,stores!A:A,stores!B:B)</f>
        <v>Bitola</v>
      </c>
      <c r="I906" t="str">
        <f t="shared" si="28"/>
        <v>NORMAL</v>
      </c>
      <c r="J906" s="4" t="str">
        <f t="shared" si="29"/>
        <v>9</v>
      </c>
    </row>
    <row r="907" spans="1:10">
      <c r="A907" s="2">
        <v>906</v>
      </c>
      <c r="B907" s="3">
        <v>46268</v>
      </c>
      <c r="C907" s="2">
        <v>5</v>
      </c>
      <c r="D907" s="2">
        <v>2</v>
      </c>
      <c r="E907" s="2">
        <v>31.6</v>
      </c>
      <c r="F907" s="2">
        <v>3476</v>
      </c>
      <c r="G907" t="str">
        <f>_xlfn.XLOOKUP(C907,products!A:A,products!B:B)</f>
        <v>Grapes</v>
      </c>
      <c r="H907" t="str">
        <f>_xlfn.XLOOKUP(D907,stores!A:A,stores!B:B)</f>
        <v>Ohrid</v>
      </c>
      <c r="I907" t="str">
        <f t="shared" si="28"/>
        <v>NORMAL</v>
      </c>
      <c r="J907" s="4" t="str">
        <f t="shared" si="29"/>
        <v>9</v>
      </c>
    </row>
    <row r="908" spans="1:10">
      <c r="A908" s="2">
        <v>907</v>
      </c>
      <c r="B908" s="3">
        <v>46268</v>
      </c>
      <c r="C908" s="2">
        <v>6</v>
      </c>
      <c r="D908" s="2">
        <v>1</v>
      </c>
      <c r="E908" s="2">
        <v>1.7</v>
      </c>
      <c r="F908" s="2">
        <v>374</v>
      </c>
      <c r="G908" t="str">
        <f>_xlfn.XLOOKUP(C908,products!A:A,products!B:B)</f>
        <v>Strawberry</v>
      </c>
      <c r="H908" t="str">
        <f>_xlfn.XLOOKUP(D908,stores!A:A,stores!B:B)</f>
        <v>Bitola</v>
      </c>
      <c r="I908" t="str">
        <f t="shared" si="28"/>
        <v>NORMAL</v>
      </c>
      <c r="J908" s="4" t="str">
        <f t="shared" si="29"/>
        <v>9</v>
      </c>
    </row>
    <row r="909" spans="1:10">
      <c r="A909" s="2">
        <v>908</v>
      </c>
      <c r="B909" s="3">
        <v>46268</v>
      </c>
      <c r="C909" s="2">
        <v>6</v>
      </c>
      <c r="D909" s="2">
        <v>2</v>
      </c>
      <c r="E909" s="2">
        <v>1.3</v>
      </c>
      <c r="F909" s="2">
        <v>286</v>
      </c>
      <c r="G909" t="str">
        <f>_xlfn.XLOOKUP(C909,products!A:A,products!B:B)</f>
        <v>Strawberry</v>
      </c>
      <c r="H909" t="str">
        <f>_xlfn.XLOOKUP(D909,stores!A:A,stores!B:B)</f>
        <v>Ohrid</v>
      </c>
      <c r="I909" t="str">
        <f t="shared" si="28"/>
        <v>NORMAL</v>
      </c>
      <c r="J909" s="4" t="str">
        <f t="shared" si="29"/>
        <v>9</v>
      </c>
    </row>
    <row r="910" spans="1:10">
      <c r="A910" s="2">
        <v>909</v>
      </c>
      <c r="B910" s="3">
        <v>46268</v>
      </c>
      <c r="C910" s="2">
        <v>7</v>
      </c>
      <c r="D910" s="2">
        <v>1</v>
      </c>
      <c r="E910" s="2">
        <v>12.6</v>
      </c>
      <c r="F910" s="2">
        <v>1197</v>
      </c>
      <c r="G910" t="str">
        <f>_xlfn.XLOOKUP(C910,products!A:A,products!B:B)</f>
        <v>Peach</v>
      </c>
      <c r="H910" t="str">
        <f>_xlfn.XLOOKUP(D910,stores!A:A,stores!B:B)</f>
        <v>Bitola</v>
      </c>
      <c r="I910" t="str">
        <f t="shared" si="28"/>
        <v>NORMAL</v>
      </c>
      <c r="J910" s="4" t="str">
        <f t="shared" si="29"/>
        <v>9</v>
      </c>
    </row>
    <row r="911" spans="1:10">
      <c r="A911" s="2">
        <v>910</v>
      </c>
      <c r="B911" s="3">
        <v>46268</v>
      </c>
      <c r="C911" s="2">
        <v>7</v>
      </c>
      <c r="D911" s="2">
        <v>2</v>
      </c>
      <c r="E911" s="2">
        <v>9.7</v>
      </c>
      <c r="F911" s="2">
        <v>921</v>
      </c>
      <c r="G911" t="str">
        <f>_xlfn.XLOOKUP(C911,products!A:A,products!B:B)</f>
        <v>Peach</v>
      </c>
      <c r="H911" t="str">
        <f>_xlfn.XLOOKUP(D911,stores!A:A,stores!B:B)</f>
        <v>Ohrid</v>
      </c>
      <c r="I911" t="str">
        <f t="shared" si="28"/>
        <v>NORMAL</v>
      </c>
      <c r="J911" s="4" t="str">
        <f t="shared" si="29"/>
        <v>9</v>
      </c>
    </row>
    <row r="912" spans="1:10">
      <c r="A912" s="2">
        <v>911</v>
      </c>
      <c r="B912" s="3">
        <v>46269</v>
      </c>
      <c r="C912" s="2">
        <v>1</v>
      </c>
      <c r="D912" s="2">
        <v>1</v>
      </c>
      <c r="E912" s="2">
        <v>18.1</v>
      </c>
      <c r="F912" s="2">
        <v>1086</v>
      </c>
      <c r="G912" t="str">
        <f>_xlfn.XLOOKUP(C912,products!A:A,products!B:B)</f>
        <v>Apple</v>
      </c>
      <c r="H912" t="str">
        <f>_xlfn.XLOOKUP(D912,stores!A:A,stores!B:B)</f>
        <v>Bitola</v>
      </c>
      <c r="I912" t="str">
        <f t="shared" si="28"/>
        <v>NORMAL</v>
      </c>
      <c r="J912" s="4" t="str">
        <f t="shared" si="29"/>
        <v>9</v>
      </c>
    </row>
    <row r="913" spans="1:10">
      <c r="A913" s="2">
        <v>912</v>
      </c>
      <c r="B913" s="3">
        <v>46269</v>
      </c>
      <c r="C913" s="2">
        <v>1</v>
      </c>
      <c r="D913" s="2">
        <v>2</v>
      </c>
      <c r="E913" s="2">
        <v>29.1</v>
      </c>
      <c r="F913" s="2">
        <v>1746</v>
      </c>
      <c r="G913" t="str">
        <f>_xlfn.XLOOKUP(C913,products!A:A,products!B:B)</f>
        <v>Apple</v>
      </c>
      <c r="H913" t="str">
        <f>_xlfn.XLOOKUP(D913,stores!A:A,stores!B:B)</f>
        <v>Ohrid</v>
      </c>
      <c r="I913" t="str">
        <f t="shared" si="28"/>
        <v>NORMAL</v>
      </c>
      <c r="J913" s="4" t="str">
        <f t="shared" si="29"/>
        <v>9</v>
      </c>
    </row>
    <row r="914" spans="1:10">
      <c r="A914" s="2">
        <v>913</v>
      </c>
      <c r="B914" s="3">
        <v>46269</v>
      </c>
      <c r="C914" s="2">
        <v>2</v>
      </c>
      <c r="D914" s="2">
        <v>1</v>
      </c>
      <c r="E914" s="2">
        <v>23.9</v>
      </c>
      <c r="F914" s="2">
        <v>2151</v>
      </c>
      <c r="G914" t="str">
        <f>_xlfn.XLOOKUP(C914,products!A:A,products!B:B)</f>
        <v>Banana</v>
      </c>
      <c r="H914" t="str">
        <f>_xlfn.XLOOKUP(D914,stores!A:A,stores!B:B)</f>
        <v>Bitola</v>
      </c>
      <c r="I914" t="str">
        <f t="shared" si="28"/>
        <v>NORMAL</v>
      </c>
      <c r="J914" s="4" t="str">
        <f t="shared" si="29"/>
        <v>9</v>
      </c>
    </row>
    <row r="915" spans="1:10">
      <c r="A915" s="2">
        <v>914</v>
      </c>
      <c r="B915" s="3">
        <v>46269</v>
      </c>
      <c r="C915" s="2">
        <v>2</v>
      </c>
      <c r="D915" s="2">
        <v>2</v>
      </c>
      <c r="E915" s="2">
        <v>31.6</v>
      </c>
      <c r="F915" s="2">
        <v>2844</v>
      </c>
      <c r="G915" t="str">
        <f>_xlfn.XLOOKUP(C915,products!A:A,products!B:B)</f>
        <v>Banana</v>
      </c>
      <c r="H915" t="str">
        <f>_xlfn.XLOOKUP(D915,stores!A:A,stores!B:B)</f>
        <v>Ohrid</v>
      </c>
      <c r="I915" t="str">
        <f t="shared" si="28"/>
        <v>NORMAL</v>
      </c>
      <c r="J915" s="4" t="str">
        <f t="shared" si="29"/>
        <v>9</v>
      </c>
    </row>
    <row r="916" spans="1:10">
      <c r="A916" s="2">
        <v>915</v>
      </c>
      <c r="B916" s="3">
        <v>46269</v>
      </c>
      <c r="C916" s="2">
        <v>3</v>
      </c>
      <c r="D916" s="2">
        <v>1</v>
      </c>
      <c r="E916" s="2">
        <v>12</v>
      </c>
      <c r="F916" s="2">
        <v>960</v>
      </c>
      <c r="G916" t="str">
        <f>_xlfn.XLOOKUP(C916,products!A:A,products!B:B)</f>
        <v>Orange</v>
      </c>
      <c r="H916" t="str">
        <f>_xlfn.XLOOKUP(D916,stores!A:A,stores!B:B)</f>
        <v>Bitola</v>
      </c>
      <c r="I916" t="str">
        <f t="shared" si="28"/>
        <v>NORMAL</v>
      </c>
      <c r="J916" s="4" t="str">
        <f t="shared" si="29"/>
        <v>9</v>
      </c>
    </row>
    <row r="917" spans="1:10">
      <c r="A917" s="2">
        <v>916</v>
      </c>
      <c r="B917" s="3">
        <v>46269</v>
      </c>
      <c r="C917" s="2">
        <v>3</v>
      </c>
      <c r="D917" s="2">
        <v>2</v>
      </c>
      <c r="E917" s="2">
        <v>11.1</v>
      </c>
      <c r="F917" s="2">
        <v>888</v>
      </c>
      <c r="G917" t="str">
        <f>_xlfn.XLOOKUP(C917,products!A:A,products!B:B)</f>
        <v>Orange</v>
      </c>
      <c r="H917" t="str">
        <f>_xlfn.XLOOKUP(D917,stores!A:A,stores!B:B)</f>
        <v>Ohrid</v>
      </c>
      <c r="I917" t="str">
        <f t="shared" si="28"/>
        <v>NORMAL</v>
      </c>
      <c r="J917" s="4" t="str">
        <f t="shared" si="29"/>
        <v>9</v>
      </c>
    </row>
    <row r="918" spans="1:10">
      <c r="A918" s="2">
        <v>917</v>
      </c>
      <c r="B918" s="3">
        <v>46269</v>
      </c>
      <c r="C918" s="2">
        <v>4</v>
      </c>
      <c r="D918" s="2">
        <v>1</v>
      </c>
      <c r="E918" s="2">
        <v>24.5</v>
      </c>
      <c r="F918" s="2">
        <v>612</v>
      </c>
      <c r="G918" t="str">
        <f>_xlfn.XLOOKUP(C918,products!A:A,products!B:B)</f>
        <v>Watermelon</v>
      </c>
      <c r="H918" t="str">
        <f>_xlfn.XLOOKUP(D918,stores!A:A,stores!B:B)</f>
        <v>Bitola</v>
      </c>
      <c r="I918" t="str">
        <f t="shared" si="28"/>
        <v>NORMAL</v>
      </c>
      <c r="J918" s="4" t="str">
        <f t="shared" si="29"/>
        <v>9</v>
      </c>
    </row>
    <row r="919" spans="1:10">
      <c r="A919" s="2">
        <v>918</v>
      </c>
      <c r="B919" s="3">
        <v>46269</v>
      </c>
      <c r="C919" s="2">
        <v>4</v>
      </c>
      <c r="D919" s="2">
        <v>2</v>
      </c>
      <c r="E919" s="2">
        <v>21.3</v>
      </c>
      <c r="F919" s="2">
        <v>532</v>
      </c>
      <c r="G919" t="str">
        <f>_xlfn.XLOOKUP(C919,products!A:A,products!B:B)</f>
        <v>Watermelon</v>
      </c>
      <c r="H919" t="str">
        <f>_xlfn.XLOOKUP(D919,stores!A:A,stores!B:B)</f>
        <v>Ohrid</v>
      </c>
      <c r="I919" t="str">
        <f t="shared" si="28"/>
        <v>NORMAL</v>
      </c>
      <c r="J919" s="4" t="str">
        <f t="shared" si="29"/>
        <v>9</v>
      </c>
    </row>
    <row r="920" spans="1:10">
      <c r="A920" s="2">
        <v>919</v>
      </c>
      <c r="B920" s="3">
        <v>46269</v>
      </c>
      <c r="C920" s="2">
        <v>5</v>
      </c>
      <c r="D920" s="2">
        <v>1</v>
      </c>
      <c r="E920" s="2">
        <v>24.1</v>
      </c>
      <c r="F920" s="2">
        <v>2651</v>
      </c>
      <c r="G920" t="str">
        <f>_xlfn.XLOOKUP(C920,products!A:A,products!B:B)</f>
        <v>Grapes</v>
      </c>
      <c r="H920" t="str">
        <f>_xlfn.XLOOKUP(D920,stores!A:A,stores!B:B)</f>
        <v>Bitola</v>
      </c>
      <c r="I920" t="str">
        <f t="shared" si="28"/>
        <v>NORMAL</v>
      </c>
      <c r="J920" s="4" t="str">
        <f t="shared" si="29"/>
        <v>9</v>
      </c>
    </row>
    <row r="921" spans="1:10">
      <c r="A921" s="2">
        <v>920</v>
      </c>
      <c r="B921" s="3">
        <v>46269</v>
      </c>
      <c r="C921" s="2">
        <v>5</v>
      </c>
      <c r="D921" s="2">
        <v>2</v>
      </c>
      <c r="E921" s="2">
        <v>18</v>
      </c>
      <c r="F921" s="2">
        <v>1980</v>
      </c>
      <c r="G921" t="str">
        <f>_xlfn.XLOOKUP(C921,products!A:A,products!B:B)</f>
        <v>Grapes</v>
      </c>
      <c r="H921" t="str">
        <f>_xlfn.XLOOKUP(D921,stores!A:A,stores!B:B)</f>
        <v>Ohrid</v>
      </c>
      <c r="I921" t="str">
        <f t="shared" si="28"/>
        <v>NORMAL</v>
      </c>
      <c r="J921" s="4" t="str">
        <f t="shared" si="29"/>
        <v>9</v>
      </c>
    </row>
    <row r="922" spans="1:10">
      <c r="A922" s="2">
        <v>921</v>
      </c>
      <c r="B922" s="3">
        <v>46269</v>
      </c>
      <c r="C922" s="2">
        <v>6</v>
      </c>
      <c r="D922" s="2">
        <v>1</v>
      </c>
      <c r="E922" s="2">
        <v>1.6</v>
      </c>
      <c r="F922" s="2">
        <v>352</v>
      </c>
      <c r="G922" t="str">
        <f>_xlfn.XLOOKUP(C922,products!A:A,products!B:B)</f>
        <v>Strawberry</v>
      </c>
      <c r="H922" t="str">
        <f>_xlfn.XLOOKUP(D922,stores!A:A,stores!B:B)</f>
        <v>Bitola</v>
      </c>
      <c r="I922" t="str">
        <f t="shared" si="28"/>
        <v>NORMAL</v>
      </c>
      <c r="J922" s="4" t="str">
        <f t="shared" si="29"/>
        <v>9</v>
      </c>
    </row>
    <row r="923" spans="1:10">
      <c r="A923" s="2">
        <v>922</v>
      </c>
      <c r="B923" s="3">
        <v>46269</v>
      </c>
      <c r="C923" s="2">
        <v>6</v>
      </c>
      <c r="D923" s="2">
        <v>2</v>
      </c>
      <c r="E923" s="2">
        <v>1.2</v>
      </c>
      <c r="F923" s="2">
        <v>264</v>
      </c>
      <c r="G923" t="str">
        <f>_xlfn.XLOOKUP(C923,products!A:A,products!B:B)</f>
        <v>Strawberry</v>
      </c>
      <c r="H923" t="str">
        <f>_xlfn.XLOOKUP(D923,stores!A:A,stores!B:B)</f>
        <v>Ohrid</v>
      </c>
      <c r="I923" t="str">
        <f t="shared" si="28"/>
        <v>NORMAL</v>
      </c>
      <c r="J923" s="4" t="str">
        <f t="shared" si="29"/>
        <v>9</v>
      </c>
    </row>
    <row r="924" spans="1:10">
      <c r="A924" s="2">
        <v>923</v>
      </c>
      <c r="B924" s="3">
        <v>46269</v>
      </c>
      <c r="C924" s="2">
        <v>7</v>
      </c>
      <c r="D924" s="2">
        <v>1</v>
      </c>
      <c r="E924" s="2">
        <v>7</v>
      </c>
      <c r="F924" s="2">
        <v>665</v>
      </c>
      <c r="G924" t="str">
        <f>_xlfn.XLOOKUP(C924,products!A:A,products!B:B)</f>
        <v>Peach</v>
      </c>
      <c r="H924" t="str">
        <f>_xlfn.XLOOKUP(D924,stores!A:A,stores!B:B)</f>
        <v>Bitola</v>
      </c>
      <c r="I924" t="str">
        <f t="shared" si="28"/>
        <v>NORMAL</v>
      </c>
      <c r="J924" s="4" t="str">
        <f t="shared" si="29"/>
        <v>9</v>
      </c>
    </row>
    <row r="925" spans="1:10">
      <c r="A925" s="2">
        <v>924</v>
      </c>
      <c r="B925" s="3">
        <v>46269</v>
      </c>
      <c r="C925" s="2">
        <v>7</v>
      </c>
      <c r="D925" s="2">
        <v>2</v>
      </c>
      <c r="E925" s="2">
        <v>6.2</v>
      </c>
      <c r="F925" s="2">
        <v>589</v>
      </c>
      <c r="G925" t="str">
        <f>_xlfn.XLOOKUP(C925,products!A:A,products!B:B)</f>
        <v>Peach</v>
      </c>
      <c r="H925" t="str">
        <f>_xlfn.XLOOKUP(D925,stores!A:A,stores!B:B)</f>
        <v>Ohrid</v>
      </c>
      <c r="I925" t="str">
        <f t="shared" si="28"/>
        <v>NORMAL</v>
      </c>
      <c r="J925" s="4" t="str">
        <f t="shared" si="29"/>
        <v>9</v>
      </c>
    </row>
    <row r="926" spans="1:10">
      <c r="A926" s="2">
        <v>925</v>
      </c>
      <c r="B926" s="3">
        <v>46270</v>
      </c>
      <c r="C926" s="2">
        <v>1</v>
      </c>
      <c r="D926" s="2">
        <v>1</v>
      </c>
      <c r="E926" s="2">
        <v>35.8</v>
      </c>
      <c r="F926" s="2">
        <v>2148</v>
      </c>
      <c r="G926" t="str">
        <f>_xlfn.XLOOKUP(C926,products!A:A,products!B:B)</f>
        <v>Apple</v>
      </c>
      <c r="H926" t="str">
        <f>_xlfn.XLOOKUP(D926,stores!A:A,stores!B:B)</f>
        <v>Bitola</v>
      </c>
      <c r="I926" t="str">
        <f t="shared" si="28"/>
        <v>NORMAL</v>
      </c>
      <c r="J926" s="4" t="str">
        <f t="shared" si="29"/>
        <v>9</v>
      </c>
    </row>
    <row r="927" spans="1:10">
      <c r="A927" s="2">
        <v>926</v>
      </c>
      <c r="B927" s="3">
        <v>46270</v>
      </c>
      <c r="C927" s="2">
        <v>1</v>
      </c>
      <c r="D927" s="2">
        <v>2</v>
      </c>
      <c r="E927" s="2">
        <v>31.1</v>
      </c>
      <c r="F927" s="2">
        <v>1866</v>
      </c>
      <c r="G927" t="str">
        <f>_xlfn.XLOOKUP(C927,products!A:A,products!B:B)</f>
        <v>Apple</v>
      </c>
      <c r="H927" t="str">
        <f>_xlfn.XLOOKUP(D927,stores!A:A,stores!B:B)</f>
        <v>Ohrid</v>
      </c>
      <c r="I927" t="str">
        <f t="shared" si="28"/>
        <v>NORMAL</v>
      </c>
      <c r="J927" s="4" t="str">
        <f t="shared" si="29"/>
        <v>9</v>
      </c>
    </row>
    <row r="928" spans="1:10">
      <c r="A928" s="2">
        <v>927</v>
      </c>
      <c r="B928" s="3">
        <v>46270</v>
      </c>
      <c r="C928" s="2">
        <v>2</v>
      </c>
      <c r="D928" s="2">
        <v>1</v>
      </c>
      <c r="E928" s="2">
        <v>24.5</v>
      </c>
      <c r="F928" s="2">
        <v>2205</v>
      </c>
      <c r="G928" t="str">
        <f>_xlfn.XLOOKUP(C928,products!A:A,products!B:B)</f>
        <v>Banana</v>
      </c>
      <c r="H928" t="str">
        <f>_xlfn.XLOOKUP(D928,stores!A:A,stores!B:B)</f>
        <v>Bitola</v>
      </c>
      <c r="I928" t="str">
        <f t="shared" si="28"/>
        <v>NORMAL</v>
      </c>
      <c r="J928" s="4" t="str">
        <f t="shared" si="29"/>
        <v>9</v>
      </c>
    </row>
    <row r="929" spans="1:10">
      <c r="A929" s="2">
        <v>928</v>
      </c>
      <c r="B929" s="3">
        <v>46270</v>
      </c>
      <c r="C929" s="2">
        <v>2</v>
      </c>
      <c r="D929" s="2">
        <v>2</v>
      </c>
      <c r="E929" s="2">
        <v>32</v>
      </c>
      <c r="F929" s="2">
        <v>2880</v>
      </c>
      <c r="G929" t="str">
        <f>_xlfn.XLOOKUP(C929,products!A:A,products!B:B)</f>
        <v>Banana</v>
      </c>
      <c r="H929" t="str">
        <f>_xlfn.XLOOKUP(D929,stores!A:A,stores!B:B)</f>
        <v>Ohrid</v>
      </c>
      <c r="I929" t="str">
        <f t="shared" si="28"/>
        <v>NORMAL</v>
      </c>
      <c r="J929" s="4" t="str">
        <f t="shared" si="29"/>
        <v>9</v>
      </c>
    </row>
    <row r="930" spans="1:10">
      <c r="A930" s="2">
        <v>929</v>
      </c>
      <c r="B930" s="3">
        <v>46270</v>
      </c>
      <c r="C930" s="2">
        <v>3</v>
      </c>
      <c r="D930" s="2">
        <v>1</v>
      </c>
      <c r="E930" s="2">
        <v>17.3</v>
      </c>
      <c r="F930" s="2">
        <v>1384</v>
      </c>
      <c r="G930" t="str">
        <f>_xlfn.XLOOKUP(C930,products!A:A,products!B:B)</f>
        <v>Orange</v>
      </c>
      <c r="H930" t="str">
        <f>_xlfn.XLOOKUP(D930,stores!A:A,stores!B:B)</f>
        <v>Bitola</v>
      </c>
      <c r="I930" t="str">
        <f t="shared" si="28"/>
        <v>NORMAL</v>
      </c>
      <c r="J930" s="4" t="str">
        <f t="shared" si="29"/>
        <v>9</v>
      </c>
    </row>
    <row r="931" spans="1:10">
      <c r="A931" s="2">
        <v>930</v>
      </c>
      <c r="B931" s="3">
        <v>46270</v>
      </c>
      <c r="C931" s="2">
        <v>3</v>
      </c>
      <c r="D931" s="2">
        <v>2</v>
      </c>
      <c r="E931" s="2">
        <v>14.4</v>
      </c>
      <c r="F931" s="2">
        <v>1152</v>
      </c>
      <c r="G931" t="str">
        <f>_xlfn.XLOOKUP(C931,products!A:A,products!B:B)</f>
        <v>Orange</v>
      </c>
      <c r="H931" t="str">
        <f>_xlfn.XLOOKUP(D931,stores!A:A,stores!B:B)</f>
        <v>Ohrid</v>
      </c>
      <c r="I931" t="str">
        <f t="shared" si="28"/>
        <v>NORMAL</v>
      </c>
      <c r="J931" s="4" t="str">
        <f t="shared" si="29"/>
        <v>9</v>
      </c>
    </row>
    <row r="932" spans="1:10">
      <c r="A932" s="2">
        <v>931</v>
      </c>
      <c r="B932" s="3">
        <v>46270</v>
      </c>
      <c r="C932" s="2">
        <v>4</v>
      </c>
      <c r="D932" s="2">
        <v>1</v>
      </c>
      <c r="E932" s="2">
        <v>34</v>
      </c>
      <c r="F932" s="2">
        <v>850</v>
      </c>
      <c r="G932" t="str">
        <f>_xlfn.XLOOKUP(C932,products!A:A,products!B:B)</f>
        <v>Watermelon</v>
      </c>
      <c r="H932" t="str">
        <f>_xlfn.XLOOKUP(D932,stores!A:A,stores!B:B)</f>
        <v>Bitola</v>
      </c>
      <c r="I932" t="str">
        <f t="shared" si="28"/>
        <v>NORMAL</v>
      </c>
      <c r="J932" s="4" t="str">
        <f t="shared" si="29"/>
        <v>9</v>
      </c>
    </row>
    <row r="933" spans="1:10">
      <c r="A933" s="2">
        <v>932</v>
      </c>
      <c r="B933" s="3">
        <v>46270</v>
      </c>
      <c r="C933" s="2">
        <v>4</v>
      </c>
      <c r="D933" s="2">
        <v>2</v>
      </c>
      <c r="E933" s="2">
        <v>44.5</v>
      </c>
      <c r="F933" s="2">
        <v>1112</v>
      </c>
      <c r="G933" t="str">
        <f>_xlfn.XLOOKUP(C933,products!A:A,products!B:B)</f>
        <v>Watermelon</v>
      </c>
      <c r="H933" t="str">
        <f>_xlfn.XLOOKUP(D933,stores!A:A,stores!B:B)</f>
        <v>Ohrid</v>
      </c>
      <c r="I933" t="str">
        <f t="shared" si="28"/>
        <v>NORMAL</v>
      </c>
      <c r="J933" s="4" t="str">
        <f t="shared" si="29"/>
        <v>9</v>
      </c>
    </row>
    <row r="934" spans="1:10">
      <c r="A934" s="2">
        <v>933</v>
      </c>
      <c r="B934" s="3">
        <v>46270</v>
      </c>
      <c r="C934" s="2">
        <v>5</v>
      </c>
      <c r="D934" s="2">
        <v>1</v>
      </c>
      <c r="E934" s="2">
        <v>36.7</v>
      </c>
      <c r="F934" s="2">
        <v>4037</v>
      </c>
      <c r="G934" t="str">
        <f>_xlfn.XLOOKUP(C934,products!A:A,products!B:B)</f>
        <v>Grapes</v>
      </c>
      <c r="H934" t="str">
        <f>_xlfn.XLOOKUP(D934,stores!A:A,stores!B:B)</f>
        <v>Bitola</v>
      </c>
      <c r="I934" t="str">
        <f t="shared" si="28"/>
        <v>NORMAL</v>
      </c>
      <c r="J934" s="4" t="str">
        <f t="shared" si="29"/>
        <v>9</v>
      </c>
    </row>
    <row r="935" spans="1:10">
      <c r="A935" s="2">
        <v>934</v>
      </c>
      <c r="B935" s="3">
        <v>46270</v>
      </c>
      <c r="C935" s="2">
        <v>5</v>
      </c>
      <c r="D935" s="2">
        <v>2</v>
      </c>
      <c r="E935" s="2">
        <v>34.5</v>
      </c>
      <c r="F935" s="2">
        <v>3795</v>
      </c>
      <c r="G935" t="str">
        <f>_xlfn.XLOOKUP(C935,products!A:A,products!B:B)</f>
        <v>Grapes</v>
      </c>
      <c r="H935" t="str">
        <f>_xlfn.XLOOKUP(D935,stores!A:A,stores!B:B)</f>
        <v>Ohrid</v>
      </c>
      <c r="I935" t="str">
        <f t="shared" si="28"/>
        <v>NORMAL</v>
      </c>
      <c r="J935" s="4" t="str">
        <f t="shared" si="29"/>
        <v>9</v>
      </c>
    </row>
    <row r="936" spans="1:10">
      <c r="A936" s="2">
        <v>935</v>
      </c>
      <c r="B936" s="3">
        <v>46270</v>
      </c>
      <c r="C936" s="2">
        <v>6</v>
      </c>
      <c r="D936" s="2">
        <v>1</v>
      </c>
      <c r="E936" s="2">
        <v>1.2</v>
      </c>
      <c r="F936" s="2">
        <v>264</v>
      </c>
      <c r="G936" t="str">
        <f>_xlfn.XLOOKUP(C936,products!A:A,products!B:B)</f>
        <v>Strawberry</v>
      </c>
      <c r="H936" t="str">
        <f>_xlfn.XLOOKUP(D936,stores!A:A,stores!B:B)</f>
        <v>Bitola</v>
      </c>
      <c r="I936" t="str">
        <f t="shared" si="28"/>
        <v>NORMAL</v>
      </c>
      <c r="J936" s="4" t="str">
        <f t="shared" si="29"/>
        <v>9</v>
      </c>
    </row>
    <row r="937" spans="1:10">
      <c r="A937" s="2">
        <v>936</v>
      </c>
      <c r="B937" s="3">
        <v>46270</v>
      </c>
      <c r="C937" s="2">
        <v>6</v>
      </c>
      <c r="D937" s="2">
        <v>2</v>
      </c>
      <c r="E937" s="2">
        <v>2</v>
      </c>
      <c r="F937" s="2">
        <v>440</v>
      </c>
      <c r="G937" t="str">
        <f>_xlfn.XLOOKUP(C937,products!A:A,products!B:B)</f>
        <v>Strawberry</v>
      </c>
      <c r="H937" t="str">
        <f>_xlfn.XLOOKUP(D937,stores!A:A,stores!B:B)</f>
        <v>Ohrid</v>
      </c>
      <c r="I937" t="str">
        <f t="shared" si="28"/>
        <v>NORMAL</v>
      </c>
      <c r="J937" s="4" t="str">
        <f t="shared" si="29"/>
        <v>9</v>
      </c>
    </row>
    <row r="938" spans="1:10">
      <c r="A938" s="2">
        <v>937</v>
      </c>
      <c r="B938" s="3">
        <v>46270</v>
      </c>
      <c r="C938" s="2">
        <v>7</v>
      </c>
      <c r="D938" s="2">
        <v>1</v>
      </c>
      <c r="E938" s="2">
        <v>7.1</v>
      </c>
      <c r="F938" s="2">
        <v>674</v>
      </c>
      <c r="G938" t="str">
        <f>_xlfn.XLOOKUP(C938,products!A:A,products!B:B)</f>
        <v>Peach</v>
      </c>
      <c r="H938" t="str">
        <f>_xlfn.XLOOKUP(D938,stores!A:A,stores!B:B)</f>
        <v>Bitola</v>
      </c>
      <c r="I938" t="str">
        <f t="shared" si="28"/>
        <v>NORMAL</v>
      </c>
      <c r="J938" s="4" t="str">
        <f t="shared" si="29"/>
        <v>9</v>
      </c>
    </row>
    <row r="939" spans="1:10">
      <c r="A939" s="2">
        <v>938</v>
      </c>
      <c r="B939" s="3">
        <v>46270</v>
      </c>
      <c r="C939" s="2">
        <v>7</v>
      </c>
      <c r="D939" s="2">
        <v>2</v>
      </c>
      <c r="E939" s="2">
        <v>10.3</v>
      </c>
      <c r="F939" s="2">
        <v>979</v>
      </c>
      <c r="G939" t="str">
        <f>_xlfn.XLOOKUP(C939,products!A:A,products!B:B)</f>
        <v>Peach</v>
      </c>
      <c r="H939" t="str">
        <f>_xlfn.XLOOKUP(D939,stores!A:A,stores!B:B)</f>
        <v>Ohrid</v>
      </c>
      <c r="I939" t="str">
        <f t="shared" si="28"/>
        <v>NORMAL</v>
      </c>
      <c r="J939" s="4" t="str">
        <f t="shared" si="29"/>
        <v>9</v>
      </c>
    </row>
    <row r="940" spans="1:10">
      <c r="A940" s="2">
        <v>939</v>
      </c>
      <c r="B940" s="3">
        <v>46271</v>
      </c>
      <c r="C940" s="2">
        <v>1</v>
      </c>
      <c r="D940" s="2">
        <v>1</v>
      </c>
      <c r="E940" s="2">
        <v>43</v>
      </c>
      <c r="F940" s="2">
        <v>2580</v>
      </c>
      <c r="G940" t="str">
        <f>_xlfn.XLOOKUP(C940,products!A:A,products!B:B)</f>
        <v>Apple</v>
      </c>
      <c r="H940" t="str">
        <f>_xlfn.XLOOKUP(D940,stores!A:A,stores!B:B)</f>
        <v>Bitola</v>
      </c>
      <c r="I940" t="str">
        <f t="shared" si="28"/>
        <v>NORMAL</v>
      </c>
      <c r="J940" s="4" t="str">
        <f t="shared" si="29"/>
        <v>9</v>
      </c>
    </row>
    <row r="941" spans="1:10">
      <c r="A941" s="2">
        <v>940</v>
      </c>
      <c r="B941" s="3">
        <v>46271</v>
      </c>
      <c r="C941" s="2">
        <v>1</v>
      </c>
      <c r="D941" s="2">
        <v>2</v>
      </c>
      <c r="E941" s="2">
        <v>31.1</v>
      </c>
      <c r="F941" s="2">
        <v>1866</v>
      </c>
      <c r="G941" t="str">
        <f>_xlfn.XLOOKUP(C941,products!A:A,products!B:B)</f>
        <v>Apple</v>
      </c>
      <c r="H941" t="str">
        <f>_xlfn.XLOOKUP(D941,stores!A:A,stores!B:B)</f>
        <v>Ohrid</v>
      </c>
      <c r="I941" t="str">
        <f t="shared" si="28"/>
        <v>NORMAL</v>
      </c>
      <c r="J941" s="4" t="str">
        <f t="shared" si="29"/>
        <v>9</v>
      </c>
    </row>
    <row r="942" spans="1:10">
      <c r="A942" s="2">
        <v>941</v>
      </c>
      <c r="B942" s="3">
        <v>46271</v>
      </c>
      <c r="C942" s="2">
        <v>2</v>
      </c>
      <c r="D942" s="2">
        <v>1</v>
      </c>
      <c r="E942" s="2">
        <v>35.9</v>
      </c>
      <c r="F942" s="2">
        <v>3231</v>
      </c>
      <c r="G942" t="str">
        <f>_xlfn.XLOOKUP(C942,products!A:A,products!B:B)</f>
        <v>Banana</v>
      </c>
      <c r="H942" t="str">
        <f>_xlfn.XLOOKUP(D942,stores!A:A,stores!B:B)</f>
        <v>Bitola</v>
      </c>
      <c r="I942" t="str">
        <f t="shared" si="28"/>
        <v>NORMAL</v>
      </c>
      <c r="J942" s="4" t="str">
        <f t="shared" si="29"/>
        <v>9</v>
      </c>
    </row>
    <row r="943" spans="1:10">
      <c r="A943" s="2">
        <v>942</v>
      </c>
      <c r="B943" s="3">
        <v>46271</v>
      </c>
      <c r="C943" s="2">
        <v>2</v>
      </c>
      <c r="D943" s="2">
        <v>2</v>
      </c>
      <c r="E943" s="2">
        <v>23.3</v>
      </c>
      <c r="F943" s="2">
        <v>2097</v>
      </c>
      <c r="G943" t="str">
        <f>_xlfn.XLOOKUP(C943,products!A:A,products!B:B)</f>
        <v>Banana</v>
      </c>
      <c r="H943" t="str">
        <f>_xlfn.XLOOKUP(D943,stores!A:A,stores!B:B)</f>
        <v>Ohrid</v>
      </c>
      <c r="I943" t="str">
        <f t="shared" si="28"/>
        <v>NORMAL</v>
      </c>
      <c r="J943" s="4" t="str">
        <f t="shared" si="29"/>
        <v>9</v>
      </c>
    </row>
    <row r="944" spans="1:10">
      <c r="A944" s="2">
        <v>943</v>
      </c>
      <c r="B944" s="3">
        <v>46271</v>
      </c>
      <c r="C944" s="2">
        <v>3</v>
      </c>
      <c r="D944" s="2">
        <v>1</v>
      </c>
      <c r="E944" s="2">
        <v>19.5</v>
      </c>
      <c r="F944" s="2">
        <v>1560</v>
      </c>
      <c r="G944" t="str">
        <f>_xlfn.XLOOKUP(C944,products!A:A,products!B:B)</f>
        <v>Orange</v>
      </c>
      <c r="H944" t="str">
        <f>_xlfn.XLOOKUP(D944,stores!A:A,stores!B:B)</f>
        <v>Bitola</v>
      </c>
      <c r="I944" t="str">
        <f t="shared" si="28"/>
        <v>NORMAL</v>
      </c>
      <c r="J944" s="4" t="str">
        <f t="shared" si="29"/>
        <v>9</v>
      </c>
    </row>
    <row r="945" spans="1:10">
      <c r="A945" s="2">
        <v>944</v>
      </c>
      <c r="B945" s="3">
        <v>46271</v>
      </c>
      <c r="C945" s="2">
        <v>3</v>
      </c>
      <c r="D945" s="2">
        <v>2</v>
      </c>
      <c r="E945" s="2">
        <v>10.9</v>
      </c>
      <c r="F945" s="2">
        <v>872</v>
      </c>
      <c r="G945" t="str">
        <f>_xlfn.XLOOKUP(C945,products!A:A,products!B:B)</f>
        <v>Orange</v>
      </c>
      <c r="H945" t="str">
        <f>_xlfn.XLOOKUP(D945,stores!A:A,stores!B:B)</f>
        <v>Ohrid</v>
      </c>
      <c r="I945" t="str">
        <f t="shared" si="28"/>
        <v>NORMAL</v>
      </c>
      <c r="J945" s="4" t="str">
        <f t="shared" si="29"/>
        <v>9</v>
      </c>
    </row>
    <row r="946" spans="1:10">
      <c r="A946" s="2">
        <v>945</v>
      </c>
      <c r="B946" s="3">
        <v>46271</v>
      </c>
      <c r="C946" s="2">
        <v>4</v>
      </c>
      <c r="D946" s="2">
        <v>1</v>
      </c>
      <c r="E946" s="2">
        <v>35.5</v>
      </c>
      <c r="F946" s="2">
        <v>888</v>
      </c>
      <c r="G946" t="str">
        <f>_xlfn.XLOOKUP(C946,products!A:A,products!B:B)</f>
        <v>Watermelon</v>
      </c>
      <c r="H946" t="str">
        <f>_xlfn.XLOOKUP(D946,stores!A:A,stores!B:B)</f>
        <v>Bitola</v>
      </c>
      <c r="I946" t="str">
        <f t="shared" si="28"/>
        <v>NORMAL</v>
      </c>
      <c r="J946" s="4" t="str">
        <f t="shared" si="29"/>
        <v>9</v>
      </c>
    </row>
    <row r="947" spans="1:10">
      <c r="A947" s="2">
        <v>946</v>
      </c>
      <c r="B947" s="3">
        <v>46271</v>
      </c>
      <c r="C947" s="2">
        <v>4</v>
      </c>
      <c r="D947" s="2">
        <v>2</v>
      </c>
      <c r="E947" s="2">
        <v>36.6</v>
      </c>
      <c r="F947" s="2">
        <v>915</v>
      </c>
      <c r="G947" t="str">
        <f>_xlfn.XLOOKUP(C947,products!A:A,products!B:B)</f>
        <v>Watermelon</v>
      </c>
      <c r="H947" t="str">
        <f>_xlfn.XLOOKUP(D947,stores!A:A,stores!B:B)</f>
        <v>Ohrid</v>
      </c>
      <c r="I947" t="str">
        <f t="shared" si="28"/>
        <v>NORMAL</v>
      </c>
      <c r="J947" s="4" t="str">
        <f t="shared" si="29"/>
        <v>9</v>
      </c>
    </row>
    <row r="948" spans="1:10">
      <c r="A948" s="2">
        <v>947</v>
      </c>
      <c r="B948" s="3">
        <v>46271</v>
      </c>
      <c r="C948" s="2">
        <v>5</v>
      </c>
      <c r="D948" s="2">
        <v>1</v>
      </c>
      <c r="E948" s="2">
        <v>38.8</v>
      </c>
      <c r="F948" s="2">
        <v>4268</v>
      </c>
      <c r="G948" t="str">
        <f>_xlfn.XLOOKUP(C948,products!A:A,products!B:B)</f>
        <v>Grapes</v>
      </c>
      <c r="H948" t="str">
        <f>_xlfn.XLOOKUP(D948,stores!A:A,stores!B:B)</f>
        <v>Bitola</v>
      </c>
      <c r="I948" t="str">
        <f t="shared" si="28"/>
        <v>NORMAL</v>
      </c>
      <c r="J948" s="4" t="str">
        <f t="shared" si="29"/>
        <v>9</v>
      </c>
    </row>
    <row r="949" spans="1:10">
      <c r="A949" s="2">
        <v>948</v>
      </c>
      <c r="B949" s="3">
        <v>46271</v>
      </c>
      <c r="C949" s="2">
        <v>5</v>
      </c>
      <c r="D949" s="2">
        <v>2</v>
      </c>
      <c r="E949" s="2">
        <v>30.7</v>
      </c>
      <c r="F949" s="2">
        <v>3377</v>
      </c>
      <c r="G949" t="str">
        <f>_xlfn.XLOOKUP(C949,products!A:A,products!B:B)</f>
        <v>Grapes</v>
      </c>
      <c r="H949" t="str">
        <f>_xlfn.XLOOKUP(D949,stores!A:A,stores!B:B)</f>
        <v>Ohrid</v>
      </c>
      <c r="I949" t="str">
        <f t="shared" si="28"/>
        <v>NORMAL</v>
      </c>
      <c r="J949" s="4" t="str">
        <f t="shared" si="29"/>
        <v>9</v>
      </c>
    </row>
    <row r="950" spans="1:10">
      <c r="A950" s="2">
        <v>949</v>
      </c>
      <c r="B950" s="3">
        <v>46271</v>
      </c>
      <c r="C950" s="2">
        <v>6</v>
      </c>
      <c r="D950" s="2">
        <v>1</v>
      </c>
      <c r="E950" s="2">
        <v>3.5</v>
      </c>
      <c r="F950" s="2">
        <v>770</v>
      </c>
      <c r="G950" t="str">
        <f>_xlfn.XLOOKUP(C950,products!A:A,products!B:B)</f>
        <v>Strawberry</v>
      </c>
      <c r="H950" t="str">
        <f>_xlfn.XLOOKUP(D950,stores!A:A,stores!B:B)</f>
        <v>Bitola</v>
      </c>
      <c r="I950" t="str">
        <f t="shared" si="28"/>
        <v>NORMAL</v>
      </c>
      <c r="J950" s="4" t="str">
        <f t="shared" si="29"/>
        <v>9</v>
      </c>
    </row>
    <row r="951" spans="1:10">
      <c r="A951" s="2">
        <v>950</v>
      </c>
      <c r="B951" s="3">
        <v>46271</v>
      </c>
      <c r="C951" s="2">
        <v>6</v>
      </c>
      <c r="D951" s="2">
        <v>2</v>
      </c>
      <c r="E951" s="2">
        <v>2.1</v>
      </c>
      <c r="F951" s="2">
        <v>462</v>
      </c>
      <c r="G951" t="str">
        <f>_xlfn.XLOOKUP(C951,products!A:A,products!B:B)</f>
        <v>Strawberry</v>
      </c>
      <c r="H951" t="str">
        <f>_xlfn.XLOOKUP(D951,stores!A:A,stores!B:B)</f>
        <v>Ohrid</v>
      </c>
      <c r="I951" t="str">
        <f t="shared" si="28"/>
        <v>NORMAL</v>
      </c>
      <c r="J951" s="4" t="str">
        <f t="shared" si="29"/>
        <v>9</v>
      </c>
    </row>
    <row r="952" spans="1:10">
      <c r="A952" s="2">
        <v>951</v>
      </c>
      <c r="B952" s="3">
        <v>46271</v>
      </c>
      <c r="C952" s="2">
        <v>7</v>
      </c>
      <c r="D952" s="2">
        <v>1</v>
      </c>
      <c r="E952" s="2">
        <v>11.4</v>
      </c>
      <c r="F952" s="2">
        <v>1083</v>
      </c>
      <c r="G952" t="str">
        <f>_xlfn.XLOOKUP(C952,products!A:A,products!B:B)</f>
        <v>Peach</v>
      </c>
      <c r="H952" t="str">
        <f>_xlfn.XLOOKUP(D952,stores!A:A,stores!B:B)</f>
        <v>Bitola</v>
      </c>
      <c r="I952" t="str">
        <f t="shared" si="28"/>
        <v>NORMAL</v>
      </c>
      <c r="J952" s="4" t="str">
        <f t="shared" si="29"/>
        <v>9</v>
      </c>
    </row>
    <row r="953" spans="1:10">
      <c r="A953" s="2">
        <v>952</v>
      </c>
      <c r="B953" s="3">
        <v>46271</v>
      </c>
      <c r="C953" s="2">
        <v>7</v>
      </c>
      <c r="D953" s="2">
        <v>2</v>
      </c>
      <c r="E953" s="2">
        <v>5</v>
      </c>
      <c r="F953" s="2">
        <v>475</v>
      </c>
      <c r="G953" t="str">
        <f>_xlfn.XLOOKUP(C953,products!A:A,products!B:B)</f>
        <v>Peach</v>
      </c>
      <c r="H953" t="str">
        <f>_xlfn.XLOOKUP(D953,stores!A:A,stores!B:B)</f>
        <v>Ohrid</v>
      </c>
      <c r="I953" t="str">
        <f t="shared" si="28"/>
        <v>NORMAL</v>
      </c>
      <c r="J953" s="4" t="str">
        <f t="shared" si="29"/>
        <v>9</v>
      </c>
    </row>
    <row r="954" spans="1:10">
      <c r="A954" s="2">
        <v>953</v>
      </c>
      <c r="B954" s="3">
        <v>46272</v>
      </c>
      <c r="C954" s="2">
        <v>1</v>
      </c>
      <c r="D954" s="2">
        <v>1</v>
      </c>
      <c r="E954" s="2">
        <v>43.3</v>
      </c>
      <c r="F954" s="2">
        <v>2598</v>
      </c>
      <c r="G954" t="str">
        <f>_xlfn.XLOOKUP(C954,products!A:A,products!B:B)</f>
        <v>Apple</v>
      </c>
      <c r="H954" t="str">
        <f>_xlfn.XLOOKUP(D954,stores!A:A,stores!B:B)</f>
        <v>Bitola</v>
      </c>
      <c r="I954" t="str">
        <f t="shared" si="28"/>
        <v>NORMAL</v>
      </c>
      <c r="J954" s="4" t="str">
        <f t="shared" si="29"/>
        <v>9</v>
      </c>
    </row>
    <row r="955" spans="1:10">
      <c r="A955" s="2">
        <v>954</v>
      </c>
      <c r="B955" s="3">
        <v>46272</v>
      </c>
      <c r="C955" s="2">
        <v>1</v>
      </c>
      <c r="D955" s="2">
        <v>2</v>
      </c>
      <c r="E955" s="2">
        <v>26.7</v>
      </c>
      <c r="F955" s="2">
        <v>1602</v>
      </c>
      <c r="G955" t="str">
        <f>_xlfn.XLOOKUP(C955,products!A:A,products!B:B)</f>
        <v>Apple</v>
      </c>
      <c r="H955" t="str">
        <f>_xlfn.XLOOKUP(D955,stores!A:A,stores!B:B)</f>
        <v>Ohrid</v>
      </c>
      <c r="I955" t="str">
        <f t="shared" si="28"/>
        <v>NORMAL</v>
      </c>
      <c r="J955" s="4" t="str">
        <f t="shared" si="29"/>
        <v>9</v>
      </c>
    </row>
    <row r="956" spans="1:10">
      <c r="A956" s="2">
        <v>955</v>
      </c>
      <c r="B956" s="3">
        <v>46272</v>
      </c>
      <c r="C956" s="2">
        <v>2</v>
      </c>
      <c r="D956" s="2">
        <v>1</v>
      </c>
      <c r="E956" s="2">
        <v>19.9</v>
      </c>
      <c r="F956" s="2">
        <v>1791</v>
      </c>
      <c r="G956" t="str">
        <f>_xlfn.XLOOKUP(C956,products!A:A,products!B:B)</f>
        <v>Banana</v>
      </c>
      <c r="H956" t="str">
        <f>_xlfn.XLOOKUP(D956,stores!A:A,stores!B:B)</f>
        <v>Bitola</v>
      </c>
      <c r="I956" t="str">
        <f t="shared" si="28"/>
        <v>NORMAL</v>
      </c>
      <c r="J956" s="4" t="str">
        <f t="shared" si="29"/>
        <v>9</v>
      </c>
    </row>
    <row r="957" spans="1:10">
      <c r="A957" s="2">
        <v>956</v>
      </c>
      <c r="B957" s="3">
        <v>46272</v>
      </c>
      <c r="C957" s="2">
        <v>2</v>
      </c>
      <c r="D957" s="2">
        <v>2</v>
      </c>
      <c r="E957" s="2">
        <v>29.6</v>
      </c>
      <c r="F957" s="2">
        <v>2664</v>
      </c>
      <c r="G957" t="str">
        <f>_xlfn.XLOOKUP(C957,products!A:A,products!B:B)</f>
        <v>Banana</v>
      </c>
      <c r="H957" t="str">
        <f>_xlfn.XLOOKUP(D957,stores!A:A,stores!B:B)</f>
        <v>Ohrid</v>
      </c>
      <c r="I957" t="str">
        <f t="shared" si="28"/>
        <v>NORMAL</v>
      </c>
      <c r="J957" s="4" t="str">
        <f t="shared" si="29"/>
        <v>9</v>
      </c>
    </row>
    <row r="958" spans="1:10">
      <c r="A958" s="2">
        <v>957</v>
      </c>
      <c r="B958" s="3">
        <v>46272</v>
      </c>
      <c r="C958" s="2">
        <v>3</v>
      </c>
      <c r="D958" s="2">
        <v>1</v>
      </c>
      <c r="E958" s="2">
        <v>17.5</v>
      </c>
      <c r="F958" s="2">
        <v>1400</v>
      </c>
      <c r="G958" t="str">
        <f>_xlfn.XLOOKUP(C958,products!A:A,products!B:B)</f>
        <v>Orange</v>
      </c>
      <c r="H958" t="str">
        <f>_xlfn.XLOOKUP(D958,stores!A:A,stores!B:B)</f>
        <v>Bitola</v>
      </c>
      <c r="I958" t="str">
        <f t="shared" si="28"/>
        <v>NORMAL</v>
      </c>
      <c r="J958" s="4" t="str">
        <f t="shared" si="29"/>
        <v>9</v>
      </c>
    </row>
    <row r="959" spans="1:10">
      <c r="A959" s="2">
        <v>958</v>
      </c>
      <c r="B959" s="3">
        <v>46272</v>
      </c>
      <c r="C959" s="2">
        <v>3</v>
      </c>
      <c r="D959" s="2">
        <v>2</v>
      </c>
      <c r="E959" s="2">
        <v>12.9</v>
      </c>
      <c r="F959" s="2">
        <v>1032</v>
      </c>
      <c r="G959" t="str">
        <f>_xlfn.XLOOKUP(C959,products!A:A,products!B:B)</f>
        <v>Orange</v>
      </c>
      <c r="H959" t="str">
        <f>_xlfn.XLOOKUP(D959,stores!A:A,stores!B:B)</f>
        <v>Ohrid</v>
      </c>
      <c r="I959" t="str">
        <f t="shared" si="28"/>
        <v>NORMAL</v>
      </c>
      <c r="J959" s="4" t="str">
        <f t="shared" si="29"/>
        <v>9</v>
      </c>
    </row>
    <row r="960" spans="1:10">
      <c r="A960" s="2">
        <v>959</v>
      </c>
      <c r="B960" s="3">
        <v>46272</v>
      </c>
      <c r="C960" s="2">
        <v>4</v>
      </c>
      <c r="D960" s="2">
        <v>1</v>
      </c>
      <c r="E960" s="2">
        <v>21.4</v>
      </c>
      <c r="F960" s="2">
        <v>535</v>
      </c>
      <c r="G960" t="str">
        <f>_xlfn.XLOOKUP(C960,products!A:A,products!B:B)</f>
        <v>Watermelon</v>
      </c>
      <c r="H960" t="str">
        <f>_xlfn.XLOOKUP(D960,stores!A:A,stores!B:B)</f>
        <v>Bitola</v>
      </c>
      <c r="I960" t="str">
        <f t="shared" si="28"/>
        <v>NORMAL</v>
      </c>
      <c r="J960" s="4" t="str">
        <f t="shared" si="29"/>
        <v>9</v>
      </c>
    </row>
    <row r="961" spans="1:10">
      <c r="A961" s="2">
        <v>960</v>
      </c>
      <c r="B961" s="3">
        <v>46272</v>
      </c>
      <c r="C961" s="2">
        <v>4</v>
      </c>
      <c r="D961" s="2">
        <v>2</v>
      </c>
      <c r="E961" s="2">
        <v>29.3</v>
      </c>
      <c r="F961" s="2">
        <v>732</v>
      </c>
      <c r="G961" t="str">
        <f>_xlfn.XLOOKUP(C961,products!A:A,products!B:B)</f>
        <v>Watermelon</v>
      </c>
      <c r="H961" t="str">
        <f>_xlfn.XLOOKUP(D961,stores!A:A,stores!B:B)</f>
        <v>Ohrid</v>
      </c>
      <c r="I961" t="str">
        <f t="shared" si="28"/>
        <v>NORMAL</v>
      </c>
      <c r="J961" s="4" t="str">
        <f t="shared" si="29"/>
        <v>9</v>
      </c>
    </row>
    <row r="962" spans="1:10">
      <c r="A962" s="2">
        <v>961</v>
      </c>
      <c r="B962" s="3">
        <v>46272</v>
      </c>
      <c r="C962" s="2">
        <v>5</v>
      </c>
      <c r="D962" s="2">
        <v>1</v>
      </c>
      <c r="E962" s="2">
        <v>24.5</v>
      </c>
      <c r="F962" s="2">
        <v>2695</v>
      </c>
      <c r="G962" t="str">
        <f>_xlfn.XLOOKUP(C962,products!A:A,products!B:B)</f>
        <v>Grapes</v>
      </c>
      <c r="H962" t="str">
        <f>_xlfn.XLOOKUP(D962,stores!A:A,stores!B:B)</f>
        <v>Bitola</v>
      </c>
      <c r="I962" t="str">
        <f t="shared" ref="I962:I1025" si="30">IF(E962&gt;50,"BIG","NORMAL")</f>
        <v>NORMAL</v>
      </c>
      <c r="J962" s="4" t="str">
        <f t="shared" ref="J962:J1025" si="31">TEXT(B962,"m")</f>
        <v>9</v>
      </c>
    </row>
    <row r="963" spans="1:10">
      <c r="A963" s="2">
        <v>962</v>
      </c>
      <c r="B963" s="3">
        <v>46272</v>
      </c>
      <c r="C963" s="2">
        <v>5</v>
      </c>
      <c r="D963" s="2">
        <v>2</v>
      </c>
      <c r="E963" s="2">
        <v>19.3</v>
      </c>
      <c r="F963" s="2">
        <v>2123</v>
      </c>
      <c r="G963" t="str">
        <f>_xlfn.XLOOKUP(C963,products!A:A,products!B:B)</f>
        <v>Grapes</v>
      </c>
      <c r="H963" t="str">
        <f>_xlfn.XLOOKUP(D963,stores!A:A,stores!B:B)</f>
        <v>Ohrid</v>
      </c>
      <c r="I963" t="str">
        <f t="shared" si="30"/>
        <v>NORMAL</v>
      </c>
      <c r="J963" s="4" t="str">
        <f t="shared" si="31"/>
        <v>9</v>
      </c>
    </row>
    <row r="964" spans="1:10">
      <c r="A964" s="2">
        <v>963</v>
      </c>
      <c r="B964" s="3">
        <v>46272</v>
      </c>
      <c r="C964" s="2">
        <v>6</v>
      </c>
      <c r="D964" s="2">
        <v>1</v>
      </c>
      <c r="E964" s="2">
        <v>2.4</v>
      </c>
      <c r="F964" s="2">
        <v>528</v>
      </c>
      <c r="G964" t="str">
        <f>_xlfn.XLOOKUP(C964,products!A:A,products!B:B)</f>
        <v>Strawberry</v>
      </c>
      <c r="H964" t="str">
        <f>_xlfn.XLOOKUP(D964,stores!A:A,stores!B:B)</f>
        <v>Bitola</v>
      </c>
      <c r="I964" t="str">
        <f t="shared" si="30"/>
        <v>NORMAL</v>
      </c>
      <c r="J964" s="4" t="str">
        <f t="shared" si="31"/>
        <v>9</v>
      </c>
    </row>
    <row r="965" spans="1:10">
      <c r="A965" s="2">
        <v>964</v>
      </c>
      <c r="B965" s="3">
        <v>46272</v>
      </c>
      <c r="C965" s="2">
        <v>6</v>
      </c>
      <c r="D965" s="2">
        <v>2</v>
      </c>
      <c r="E965" s="2">
        <v>1</v>
      </c>
      <c r="F965" s="2">
        <v>220</v>
      </c>
      <c r="G965" t="str">
        <f>_xlfn.XLOOKUP(C965,products!A:A,products!B:B)</f>
        <v>Strawberry</v>
      </c>
      <c r="H965" t="str">
        <f>_xlfn.XLOOKUP(D965,stores!A:A,stores!B:B)</f>
        <v>Ohrid</v>
      </c>
      <c r="I965" t="str">
        <f t="shared" si="30"/>
        <v>NORMAL</v>
      </c>
      <c r="J965" s="4" t="str">
        <f t="shared" si="31"/>
        <v>9</v>
      </c>
    </row>
    <row r="966" spans="1:10">
      <c r="A966" s="2">
        <v>965</v>
      </c>
      <c r="B966" s="3">
        <v>46272</v>
      </c>
      <c r="C966" s="2">
        <v>7</v>
      </c>
      <c r="D966" s="2">
        <v>1</v>
      </c>
      <c r="E966" s="2">
        <v>11.1</v>
      </c>
      <c r="F966" s="2">
        <v>1054</v>
      </c>
      <c r="G966" t="str">
        <f>_xlfn.XLOOKUP(C966,products!A:A,products!B:B)</f>
        <v>Peach</v>
      </c>
      <c r="H966" t="str">
        <f>_xlfn.XLOOKUP(D966,stores!A:A,stores!B:B)</f>
        <v>Bitola</v>
      </c>
      <c r="I966" t="str">
        <f t="shared" si="30"/>
        <v>NORMAL</v>
      </c>
      <c r="J966" s="4" t="str">
        <f t="shared" si="31"/>
        <v>9</v>
      </c>
    </row>
    <row r="967" spans="1:10">
      <c r="A967" s="2">
        <v>966</v>
      </c>
      <c r="B967" s="3">
        <v>46272</v>
      </c>
      <c r="C967" s="2">
        <v>7</v>
      </c>
      <c r="D967" s="2">
        <v>2</v>
      </c>
      <c r="E967" s="2">
        <v>9.8</v>
      </c>
      <c r="F967" s="2">
        <v>931</v>
      </c>
      <c r="G967" t="str">
        <f>_xlfn.XLOOKUP(C967,products!A:A,products!B:B)</f>
        <v>Peach</v>
      </c>
      <c r="H967" t="str">
        <f>_xlfn.XLOOKUP(D967,stores!A:A,stores!B:B)</f>
        <v>Ohrid</v>
      </c>
      <c r="I967" t="str">
        <f t="shared" si="30"/>
        <v>NORMAL</v>
      </c>
      <c r="J967" s="4" t="str">
        <f t="shared" si="31"/>
        <v>9</v>
      </c>
    </row>
    <row r="968" spans="1:10">
      <c r="A968" s="2">
        <v>967</v>
      </c>
      <c r="B968" s="3">
        <v>46273</v>
      </c>
      <c r="C968" s="2">
        <v>1</v>
      </c>
      <c r="D968" s="2">
        <v>1</v>
      </c>
      <c r="E968" s="2">
        <v>45.1</v>
      </c>
      <c r="F968" s="2">
        <v>2706</v>
      </c>
      <c r="G968" t="str">
        <f>_xlfn.XLOOKUP(C968,products!A:A,products!B:B)</f>
        <v>Apple</v>
      </c>
      <c r="H968" t="str">
        <f>_xlfn.XLOOKUP(D968,stores!A:A,stores!B:B)</f>
        <v>Bitola</v>
      </c>
      <c r="I968" t="str">
        <f t="shared" si="30"/>
        <v>NORMAL</v>
      </c>
      <c r="J968" s="4" t="str">
        <f t="shared" si="31"/>
        <v>9</v>
      </c>
    </row>
    <row r="969" spans="1:10">
      <c r="A969" s="2">
        <v>968</v>
      </c>
      <c r="B969" s="3">
        <v>46273</v>
      </c>
      <c r="C969" s="2">
        <v>1</v>
      </c>
      <c r="D969" s="2">
        <v>2</v>
      </c>
      <c r="E969" s="2">
        <v>30.7</v>
      </c>
      <c r="F969" s="2">
        <v>1842</v>
      </c>
      <c r="G969" t="str">
        <f>_xlfn.XLOOKUP(C969,products!A:A,products!B:B)</f>
        <v>Apple</v>
      </c>
      <c r="H969" t="str">
        <f>_xlfn.XLOOKUP(D969,stores!A:A,stores!B:B)</f>
        <v>Ohrid</v>
      </c>
      <c r="I969" t="str">
        <f t="shared" si="30"/>
        <v>NORMAL</v>
      </c>
      <c r="J969" s="4" t="str">
        <f t="shared" si="31"/>
        <v>9</v>
      </c>
    </row>
    <row r="970" spans="1:10">
      <c r="A970" s="2">
        <v>969</v>
      </c>
      <c r="B970" s="3">
        <v>46273</v>
      </c>
      <c r="C970" s="2">
        <v>2</v>
      </c>
      <c r="D970" s="2">
        <v>1</v>
      </c>
      <c r="E970" s="2">
        <v>15.3</v>
      </c>
      <c r="F970" s="2">
        <v>1377</v>
      </c>
      <c r="G970" t="str">
        <f>_xlfn.XLOOKUP(C970,products!A:A,products!B:B)</f>
        <v>Banana</v>
      </c>
      <c r="H970" t="str">
        <f>_xlfn.XLOOKUP(D970,stores!A:A,stores!B:B)</f>
        <v>Bitola</v>
      </c>
      <c r="I970" t="str">
        <f t="shared" si="30"/>
        <v>NORMAL</v>
      </c>
      <c r="J970" s="4" t="str">
        <f t="shared" si="31"/>
        <v>9</v>
      </c>
    </row>
    <row r="971" spans="1:10">
      <c r="A971" s="2">
        <v>970</v>
      </c>
      <c r="B971" s="3">
        <v>46273</v>
      </c>
      <c r="C971" s="2">
        <v>2</v>
      </c>
      <c r="D971" s="2">
        <v>2</v>
      </c>
      <c r="E971" s="2">
        <v>19.5</v>
      </c>
      <c r="F971" s="2">
        <v>1755</v>
      </c>
      <c r="G971" t="str">
        <f>_xlfn.XLOOKUP(C971,products!A:A,products!B:B)</f>
        <v>Banana</v>
      </c>
      <c r="H971" t="str">
        <f>_xlfn.XLOOKUP(D971,stores!A:A,stores!B:B)</f>
        <v>Ohrid</v>
      </c>
      <c r="I971" t="str">
        <f t="shared" si="30"/>
        <v>NORMAL</v>
      </c>
      <c r="J971" s="4" t="str">
        <f t="shared" si="31"/>
        <v>9</v>
      </c>
    </row>
    <row r="972" spans="1:10">
      <c r="A972" s="2">
        <v>971</v>
      </c>
      <c r="B972" s="3">
        <v>46273</v>
      </c>
      <c r="C972" s="2">
        <v>3</v>
      </c>
      <c r="D972" s="2">
        <v>1</v>
      </c>
      <c r="E972" s="2">
        <v>14.2</v>
      </c>
      <c r="F972" s="2">
        <v>1136</v>
      </c>
      <c r="G972" t="str">
        <f>_xlfn.XLOOKUP(C972,products!A:A,products!B:B)</f>
        <v>Orange</v>
      </c>
      <c r="H972" t="str">
        <f>_xlfn.XLOOKUP(D972,stores!A:A,stores!B:B)</f>
        <v>Bitola</v>
      </c>
      <c r="I972" t="str">
        <f t="shared" si="30"/>
        <v>NORMAL</v>
      </c>
      <c r="J972" s="4" t="str">
        <f t="shared" si="31"/>
        <v>9</v>
      </c>
    </row>
    <row r="973" spans="1:10">
      <c r="A973" s="2">
        <v>972</v>
      </c>
      <c r="B973" s="3">
        <v>46273</v>
      </c>
      <c r="C973" s="2">
        <v>3</v>
      </c>
      <c r="D973" s="2">
        <v>2</v>
      </c>
      <c r="E973" s="2">
        <v>13.5</v>
      </c>
      <c r="F973" s="2">
        <v>1080</v>
      </c>
      <c r="G973" t="str">
        <f>_xlfn.XLOOKUP(C973,products!A:A,products!B:B)</f>
        <v>Orange</v>
      </c>
      <c r="H973" t="str">
        <f>_xlfn.XLOOKUP(D973,stores!A:A,stores!B:B)</f>
        <v>Ohrid</v>
      </c>
      <c r="I973" t="str">
        <f t="shared" si="30"/>
        <v>NORMAL</v>
      </c>
      <c r="J973" s="4" t="str">
        <f t="shared" si="31"/>
        <v>9</v>
      </c>
    </row>
    <row r="974" spans="1:10">
      <c r="A974" s="2">
        <v>973</v>
      </c>
      <c r="B974" s="3">
        <v>46273</v>
      </c>
      <c r="C974" s="2">
        <v>4</v>
      </c>
      <c r="D974" s="2">
        <v>1</v>
      </c>
      <c r="E974" s="2">
        <v>35.9</v>
      </c>
      <c r="F974" s="2">
        <v>898</v>
      </c>
      <c r="G974" t="str">
        <f>_xlfn.XLOOKUP(C974,products!A:A,products!B:B)</f>
        <v>Watermelon</v>
      </c>
      <c r="H974" t="str">
        <f>_xlfn.XLOOKUP(D974,stores!A:A,stores!B:B)</f>
        <v>Bitola</v>
      </c>
      <c r="I974" t="str">
        <f t="shared" si="30"/>
        <v>NORMAL</v>
      </c>
      <c r="J974" s="4" t="str">
        <f t="shared" si="31"/>
        <v>9</v>
      </c>
    </row>
    <row r="975" spans="1:10">
      <c r="A975" s="2">
        <v>974</v>
      </c>
      <c r="B975" s="3">
        <v>46273</v>
      </c>
      <c r="C975" s="2">
        <v>4</v>
      </c>
      <c r="D975" s="2">
        <v>2</v>
      </c>
      <c r="E975" s="2">
        <v>16.4</v>
      </c>
      <c r="F975" s="2">
        <v>410</v>
      </c>
      <c r="G975" t="str">
        <f>_xlfn.XLOOKUP(C975,products!A:A,products!B:B)</f>
        <v>Watermelon</v>
      </c>
      <c r="H975" t="str">
        <f>_xlfn.XLOOKUP(D975,stores!A:A,stores!B:B)</f>
        <v>Ohrid</v>
      </c>
      <c r="I975" t="str">
        <f t="shared" si="30"/>
        <v>NORMAL</v>
      </c>
      <c r="J975" s="4" t="str">
        <f t="shared" si="31"/>
        <v>9</v>
      </c>
    </row>
    <row r="976" spans="1:10">
      <c r="A976" s="2">
        <v>975</v>
      </c>
      <c r="B976" s="3">
        <v>46273</v>
      </c>
      <c r="C976" s="2">
        <v>5</v>
      </c>
      <c r="D976" s="2">
        <v>1</v>
      </c>
      <c r="E976" s="2">
        <v>26.2</v>
      </c>
      <c r="F976" s="2">
        <v>2882</v>
      </c>
      <c r="G976" t="str">
        <f>_xlfn.XLOOKUP(C976,products!A:A,products!B:B)</f>
        <v>Grapes</v>
      </c>
      <c r="H976" t="str">
        <f>_xlfn.XLOOKUP(D976,stores!A:A,stores!B:B)</f>
        <v>Bitola</v>
      </c>
      <c r="I976" t="str">
        <f t="shared" si="30"/>
        <v>NORMAL</v>
      </c>
      <c r="J976" s="4" t="str">
        <f t="shared" si="31"/>
        <v>9</v>
      </c>
    </row>
    <row r="977" spans="1:10">
      <c r="A977" s="2">
        <v>976</v>
      </c>
      <c r="B977" s="3">
        <v>46273</v>
      </c>
      <c r="C977" s="2">
        <v>5</v>
      </c>
      <c r="D977" s="2">
        <v>2</v>
      </c>
      <c r="E977" s="2">
        <v>30.1</v>
      </c>
      <c r="F977" s="2">
        <v>3311</v>
      </c>
      <c r="G977" t="str">
        <f>_xlfn.XLOOKUP(C977,products!A:A,products!B:B)</f>
        <v>Grapes</v>
      </c>
      <c r="H977" t="str">
        <f>_xlfn.XLOOKUP(D977,stores!A:A,stores!B:B)</f>
        <v>Ohrid</v>
      </c>
      <c r="I977" t="str">
        <f t="shared" si="30"/>
        <v>NORMAL</v>
      </c>
      <c r="J977" s="4" t="str">
        <f t="shared" si="31"/>
        <v>9</v>
      </c>
    </row>
    <row r="978" spans="1:10">
      <c r="A978" s="2">
        <v>977</v>
      </c>
      <c r="B978" s="3">
        <v>46273</v>
      </c>
      <c r="C978" s="2">
        <v>6</v>
      </c>
      <c r="D978" s="2">
        <v>1</v>
      </c>
      <c r="E978" s="2">
        <v>2.6</v>
      </c>
      <c r="F978" s="2">
        <v>572</v>
      </c>
      <c r="G978" t="str">
        <f>_xlfn.XLOOKUP(C978,products!A:A,products!B:B)</f>
        <v>Strawberry</v>
      </c>
      <c r="H978" t="str">
        <f>_xlfn.XLOOKUP(D978,stores!A:A,stores!B:B)</f>
        <v>Bitola</v>
      </c>
      <c r="I978" t="str">
        <f t="shared" si="30"/>
        <v>NORMAL</v>
      </c>
      <c r="J978" s="4" t="str">
        <f t="shared" si="31"/>
        <v>9</v>
      </c>
    </row>
    <row r="979" spans="1:10">
      <c r="A979" s="2">
        <v>978</v>
      </c>
      <c r="B979" s="3">
        <v>46273</v>
      </c>
      <c r="C979" s="2">
        <v>6</v>
      </c>
      <c r="D979" s="2">
        <v>2</v>
      </c>
      <c r="E979" s="2">
        <v>2.5</v>
      </c>
      <c r="F979" s="2">
        <v>550</v>
      </c>
      <c r="G979" t="str">
        <f>_xlfn.XLOOKUP(C979,products!A:A,products!B:B)</f>
        <v>Strawberry</v>
      </c>
      <c r="H979" t="str">
        <f>_xlfn.XLOOKUP(D979,stores!A:A,stores!B:B)</f>
        <v>Ohrid</v>
      </c>
      <c r="I979" t="str">
        <f t="shared" si="30"/>
        <v>NORMAL</v>
      </c>
      <c r="J979" s="4" t="str">
        <f t="shared" si="31"/>
        <v>9</v>
      </c>
    </row>
    <row r="980" spans="1:10">
      <c r="A980" s="2">
        <v>979</v>
      </c>
      <c r="B980" s="3">
        <v>46273</v>
      </c>
      <c r="C980" s="2">
        <v>7</v>
      </c>
      <c r="D980" s="2">
        <v>1</v>
      </c>
      <c r="E980" s="2">
        <v>9.2</v>
      </c>
      <c r="F980" s="2">
        <v>874</v>
      </c>
      <c r="G980" t="str">
        <f>_xlfn.XLOOKUP(C980,products!A:A,products!B:B)</f>
        <v>Peach</v>
      </c>
      <c r="H980" t="str">
        <f>_xlfn.XLOOKUP(D980,stores!A:A,stores!B:B)</f>
        <v>Bitola</v>
      </c>
      <c r="I980" t="str">
        <f t="shared" si="30"/>
        <v>NORMAL</v>
      </c>
      <c r="J980" s="4" t="str">
        <f t="shared" si="31"/>
        <v>9</v>
      </c>
    </row>
    <row r="981" spans="1:10">
      <c r="A981" s="2">
        <v>980</v>
      </c>
      <c r="B981" s="3">
        <v>46273</v>
      </c>
      <c r="C981" s="2">
        <v>7</v>
      </c>
      <c r="D981" s="2">
        <v>2</v>
      </c>
      <c r="E981" s="2">
        <v>11</v>
      </c>
      <c r="F981" s="2">
        <v>1045</v>
      </c>
      <c r="G981" t="str">
        <f>_xlfn.XLOOKUP(C981,products!A:A,products!B:B)</f>
        <v>Peach</v>
      </c>
      <c r="H981" t="str">
        <f>_xlfn.XLOOKUP(D981,stores!A:A,stores!B:B)</f>
        <v>Ohrid</v>
      </c>
      <c r="I981" t="str">
        <f t="shared" si="30"/>
        <v>NORMAL</v>
      </c>
      <c r="J981" s="4" t="str">
        <f t="shared" si="31"/>
        <v>9</v>
      </c>
    </row>
    <row r="982" spans="1:10">
      <c r="A982" s="2">
        <v>981</v>
      </c>
      <c r="B982" s="3">
        <v>46274</v>
      </c>
      <c r="C982" s="2">
        <v>1</v>
      </c>
      <c r="D982" s="2">
        <v>1</v>
      </c>
      <c r="E982" s="2">
        <v>43</v>
      </c>
      <c r="F982" s="2">
        <v>2580</v>
      </c>
      <c r="G982" t="str">
        <f>_xlfn.XLOOKUP(C982,products!A:A,products!B:B)</f>
        <v>Apple</v>
      </c>
      <c r="H982" t="str">
        <f>_xlfn.XLOOKUP(D982,stores!A:A,stores!B:B)</f>
        <v>Bitola</v>
      </c>
      <c r="I982" t="str">
        <f t="shared" si="30"/>
        <v>NORMAL</v>
      </c>
      <c r="J982" s="4" t="str">
        <f t="shared" si="31"/>
        <v>9</v>
      </c>
    </row>
    <row r="983" spans="1:10">
      <c r="A983" s="2">
        <v>982</v>
      </c>
      <c r="B983" s="3">
        <v>46274</v>
      </c>
      <c r="C983" s="2">
        <v>1</v>
      </c>
      <c r="D983" s="2">
        <v>2</v>
      </c>
      <c r="E983" s="2">
        <v>35.7</v>
      </c>
      <c r="F983" s="2">
        <v>2142</v>
      </c>
      <c r="G983" t="str">
        <f>_xlfn.XLOOKUP(C983,products!A:A,products!B:B)</f>
        <v>Apple</v>
      </c>
      <c r="H983" t="str">
        <f>_xlfn.XLOOKUP(D983,stores!A:A,stores!B:B)</f>
        <v>Ohrid</v>
      </c>
      <c r="I983" t="str">
        <f t="shared" si="30"/>
        <v>NORMAL</v>
      </c>
      <c r="J983" s="4" t="str">
        <f t="shared" si="31"/>
        <v>9</v>
      </c>
    </row>
    <row r="984" spans="1:10">
      <c r="A984" s="2">
        <v>983</v>
      </c>
      <c r="B984" s="3">
        <v>46274</v>
      </c>
      <c r="C984" s="2">
        <v>2</v>
      </c>
      <c r="D984" s="2">
        <v>1</v>
      </c>
      <c r="E984" s="2">
        <v>29.8</v>
      </c>
      <c r="F984" s="2">
        <v>2682</v>
      </c>
      <c r="G984" t="str">
        <f>_xlfn.XLOOKUP(C984,products!A:A,products!B:B)</f>
        <v>Banana</v>
      </c>
      <c r="H984" t="str">
        <f>_xlfn.XLOOKUP(D984,stores!A:A,stores!B:B)</f>
        <v>Bitola</v>
      </c>
      <c r="I984" t="str">
        <f t="shared" si="30"/>
        <v>NORMAL</v>
      </c>
      <c r="J984" s="4" t="str">
        <f t="shared" si="31"/>
        <v>9</v>
      </c>
    </row>
    <row r="985" spans="1:10">
      <c r="A985" s="2">
        <v>984</v>
      </c>
      <c r="B985" s="3">
        <v>46274</v>
      </c>
      <c r="C985" s="2">
        <v>2</v>
      </c>
      <c r="D985" s="2">
        <v>2</v>
      </c>
      <c r="E985" s="2">
        <v>27.3</v>
      </c>
      <c r="F985" s="2">
        <v>2457</v>
      </c>
      <c r="G985" t="str">
        <f>_xlfn.XLOOKUP(C985,products!A:A,products!B:B)</f>
        <v>Banana</v>
      </c>
      <c r="H985" t="str">
        <f>_xlfn.XLOOKUP(D985,stores!A:A,stores!B:B)</f>
        <v>Ohrid</v>
      </c>
      <c r="I985" t="str">
        <f t="shared" si="30"/>
        <v>NORMAL</v>
      </c>
      <c r="J985" s="4" t="str">
        <f t="shared" si="31"/>
        <v>9</v>
      </c>
    </row>
    <row r="986" spans="1:10">
      <c r="A986" s="2">
        <v>985</v>
      </c>
      <c r="B986" s="3">
        <v>46274</v>
      </c>
      <c r="C986" s="2">
        <v>3</v>
      </c>
      <c r="D986" s="2">
        <v>1</v>
      </c>
      <c r="E986" s="2">
        <v>11.8</v>
      </c>
      <c r="F986" s="2">
        <v>944</v>
      </c>
      <c r="G986" t="str">
        <f>_xlfn.XLOOKUP(C986,products!A:A,products!B:B)</f>
        <v>Orange</v>
      </c>
      <c r="H986" t="str">
        <f>_xlfn.XLOOKUP(D986,stores!A:A,stores!B:B)</f>
        <v>Bitola</v>
      </c>
      <c r="I986" t="str">
        <f t="shared" si="30"/>
        <v>NORMAL</v>
      </c>
      <c r="J986" s="4" t="str">
        <f t="shared" si="31"/>
        <v>9</v>
      </c>
    </row>
    <row r="987" spans="1:10">
      <c r="A987" s="2">
        <v>986</v>
      </c>
      <c r="B987" s="3">
        <v>46274</v>
      </c>
      <c r="C987" s="2">
        <v>3</v>
      </c>
      <c r="D987" s="2">
        <v>2</v>
      </c>
      <c r="E987" s="2">
        <v>9</v>
      </c>
      <c r="F987" s="2">
        <v>720</v>
      </c>
      <c r="G987" t="str">
        <f>_xlfn.XLOOKUP(C987,products!A:A,products!B:B)</f>
        <v>Orange</v>
      </c>
      <c r="H987" t="str">
        <f>_xlfn.XLOOKUP(D987,stores!A:A,stores!B:B)</f>
        <v>Ohrid</v>
      </c>
      <c r="I987" t="str">
        <f t="shared" si="30"/>
        <v>NORMAL</v>
      </c>
      <c r="J987" s="4" t="str">
        <f t="shared" si="31"/>
        <v>9</v>
      </c>
    </row>
    <row r="988" spans="1:10">
      <c r="A988" s="2">
        <v>987</v>
      </c>
      <c r="B988" s="3">
        <v>46274</v>
      </c>
      <c r="C988" s="2">
        <v>4</v>
      </c>
      <c r="D988" s="2">
        <v>1</v>
      </c>
      <c r="E988" s="2">
        <v>35.9</v>
      </c>
      <c r="F988" s="2">
        <v>898</v>
      </c>
      <c r="G988" t="str">
        <f>_xlfn.XLOOKUP(C988,products!A:A,products!B:B)</f>
        <v>Watermelon</v>
      </c>
      <c r="H988" t="str">
        <f>_xlfn.XLOOKUP(D988,stores!A:A,stores!B:B)</f>
        <v>Bitola</v>
      </c>
      <c r="I988" t="str">
        <f t="shared" si="30"/>
        <v>NORMAL</v>
      </c>
      <c r="J988" s="4" t="str">
        <f t="shared" si="31"/>
        <v>9</v>
      </c>
    </row>
    <row r="989" spans="1:10">
      <c r="A989" s="2">
        <v>988</v>
      </c>
      <c r="B989" s="3">
        <v>46274</v>
      </c>
      <c r="C989" s="2">
        <v>4</v>
      </c>
      <c r="D989" s="2">
        <v>2</v>
      </c>
      <c r="E989" s="2">
        <v>25.1</v>
      </c>
      <c r="F989" s="2">
        <v>628</v>
      </c>
      <c r="G989" t="str">
        <f>_xlfn.XLOOKUP(C989,products!A:A,products!B:B)</f>
        <v>Watermelon</v>
      </c>
      <c r="H989" t="str">
        <f>_xlfn.XLOOKUP(D989,stores!A:A,stores!B:B)</f>
        <v>Ohrid</v>
      </c>
      <c r="I989" t="str">
        <f t="shared" si="30"/>
        <v>NORMAL</v>
      </c>
      <c r="J989" s="4" t="str">
        <f t="shared" si="31"/>
        <v>9</v>
      </c>
    </row>
    <row r="990" spans="1:10">
      <c r="A990" s="2">
        <v>989</v>
      </c>
      <c r="B990" s="3">
        <v>46274</v>
      </c>
      <c r="C990" s="2">
        <v>5</v>
      </c>
      <c r="D990" s="2">
        <v>1</v>
      </c>
      <c r="E990" s="2">
        <v>27.8</v>
      </c>
      <c r="F990" s="2">
        <v>3058</v>
      </c>
      <c r="G990" t="str">
        <f>_xlfn.XLOOKUP(C990,products!A:A,products!B:B)</f>
        <v>Grapes</v>
      </c>
      <c r="H990" t="str">
        <f>_xlfn.XLOOKUP(D990,stores!A:A,stores!B:B)</f>
        <v>Bitola</v>
      </c>
      <c r="I990" t="str">
        <f t="shared" si="30"/>
        <v>NORMAL</v>
      </c>
      <c r="J990" s="4" t="str">
        <f t="shared" si="31"/>
        <v>9</v>
      </c>
    </row>
    <row r="991" spans="1:10">
      <c r="A991" s="2">
        <v>990</v>
      </c>
      <c r="B991" s="3">
        <v>46274</v>
      </c>
      <c r="C991" s="2">
        <v>5</v>
      </c>
      <c r="D991" s="2">
        <v>2</v>
      </c>
      <c r="E991" s="2">
        <v>22.3</v>
      </c>
      <c r="F991" s="2">
        <v>2453</v>
      </c>
      <c r="G991" t="str">
        <f>_xlfn.XLOOKUP(C991,products!A:A,products!B:B)</f>
        <v>Grapes</v>
      </c>
      <c r="H991" t="str">
        <f>_xlfn.XLOOKUP(D991,stores!A:A,stores!B:B)</f>
        <v>Ohrid</v>
      </c>
      <c r="I991" t="str">
        <f t="shared" si="30"/>
        <v>NORMAL</v>
      </c>
      <c r="J991" s="4" t="str">
        <f t="shared" si="31"/>
        <v>9</v>
      </c>
    </row>
    <row r="992" spans="1:10">
      <c r="A992" s="2">
        <v>991</v>
      </c>
      <c r="B992" s="3">
        <v>46274</v>
      </c>
      <c r="C992" s="2">
        <v>6</v>
      </c>
      <c r="D992" s="2">
        <v>1</v>
      </c>
      <c r="E992" s="2">
        <v>1.8</v>
      </c>
      <c r="F992" s="2">
        <v>396</v>
      </c>
      <c r="G992" t="str">
        <f>_xlfn.XLOOKUP(C992,products!A:A,products!B:B)</f>
        <v>Strawberry</v>
      </c>
      <c r="H992" t="str">
        <f>_xlfn.XLOOKUP(D992,stores!A:A,stores!B:B)</f>
        <v>Bitola</v>
      </c>
      <c r="I992" t="str">
        <f t="shared" si="30"/>
        <v>NORMAL</v>
      </c>
      <c r="J992" s="4" t="str">
        <f t="shared" si="31"/>
        <v>9</v>
      </c>
    </row>
    <row r="993" spans="1:10">
      <c r="A993" s="2">
        <v>992</v>
      </c>
      <c r="B993" s="3">
        <v>46274</v>
      </c>
      <c r="C993" s="2">
        <v>6</v>
      </c>
      <c r="D993" s="2">
        <v>2</v>
      </c>
      <c r="E993" s="2">
        <v>1.9</v>
      </c>
      <c r="F993" s="2">
        <v>418</v>
      </c>
      <c r="G993" t="str">
        <f>_xlfn.XLOOKUP(C993,products!A:A,products!B:B)</f>
        <v>Strawberry</v>
      </c>
      <c r="H993" t="str">
        <f>_xlfn.XLOOKUP(D993,stores!A:A,stores!B:B)</f>
        <v>Ohrid</v>
      </c>
      <c r="I993" t="str">
        <f t="shared" si="30"/>
        <v>NORMAL</v>
      </c>
      <c r="J993" s="4" t="str">
        <f t="shared" si="31"/>
        <v>9</v>
      </c>
    </row>
    <row r="994" spans="1:10">
      <c r="A994" s="2">
        <v>993</v>
      </c>
      <c r="B994" s="3">
        <v>46274</v>
      </c>
      <c r="C994" s="2">
        <v>7</v>
      </c>
      <c r="D994" s="2">
        <v>1</v>
      </c>
      <c r="E994" s="2">
        <v>8</v>
      </c>
      <c r="F994" s="2">
        <v>760</v>
      </c>
      <c r="G994" t="str">
        <f>_xlfn.XLOOKUP(C994,products!A:A,products!B:B)</f>
        <v>Peach</v>
      </c>
      <c r="H994" t="str">
        <f>_xlfn.XLOOKUP(D994,stores!A:A,stores!B:B)</f>
        <v>Bitola</v>
      </c>
      <c r="I994" t="str">
        <f t="shared" si="30"/>
        <v>NORMAL</v>
      </c>
      <c r="J994" s="4" t="str">
        <f t="shared" si="31"/>
        <v>9</v>
      </c>
    </row>
    <row r="995" spans="1:10">
      <c r="A995" s="2">
        <v>994</v>
      </c>
      <c r="B995" s="3">
        <v>46274</v>
      </c>
      <c r="C995" s="2">
        <v>7</v>
      </c>
      <c r="D995" s="2">
        <v>2</v>
      </c>
      <c r="E995" s="2">
        <v>9.1</v>
      </c>
      <c r="F995" s="2">
        <v>864</v>
      </c>
      <c r="G995" t="str">
        <f>_xlfn.XLOOKUP(C995,products!A:A,products!B:B)</f>
        <v>Peach</v>
      </c>
      <c r="H995" t="str">
        <f>_xlfn.XLOOKUP(D995,stores!A:A,stores!B:B)</f>
        <v>Ohrid</v>
      </c>
      <c r="I995" t="str">
        <f t="shared" si="30"/>
        <v>NORMAL</v>
      </c>
      <c r="J995" s="4" t="str">
        <f t="shared" si="31"/>
        <v>9</v>
      </c>
    </row>
    <row r="996" spans="1:10">
      <c r="A996" s="2">
        <v>995</v>
      </c>
      <c r="B996" s="3">
        <v>46275</v>
      </c>
      <c r="C996" s="2">
        <v>1</v>
      </c>
      <c r="D996" s="2">
        <v>1</v>
      </c>
      <c r="E996" s="2">
        <v>33.6</v>
      </c>
      <c r="F996" s="2">
        <v>2016</v>
      </c>
      <c r="G996" t="str">
        <f>_xlfn.XLOOKUP(C996,products!A:A,products!B:B)</f>
        <v>Apple</v>
      </c>
      <c r="H996" t="str">
        <f>_xlfn.XLOOKUP(D996,stores!A:A,stores!B:B)</f>
        <v>Bitola</v>
      </c>
      <c r="I996" t="str">
        <f t="shared" si="30"/>
        <v>NORMAL</v>
      </c>
      <c r="J996" s="4" t="str">
        <f t="shared" si="31"/>
        <v>9</v>
      </c>
    </row>
    <row r="997" spans="1:10">
      <c r="A997" s="2">
        <v>996</v>
      </c>
      <c r="B997" s="3">
        <v>46275</v>
      </c>
      <c r="C997" s="2">
        <v>1</v>
      </c>
      <c r="D997" s="2">
        <v>2</v>
      </c>
      <c r="E997" s="2">
        <v>28.4</v>
      </c>
      <c r="F997" s="2">
        <v>1704</v>
      </c>
      <c r="G997" t="str">
        <f>_xlfn.XLOOKUP(C997,products!A:A,products!B:B)</f>
        <v>Apple</v>
      </c>
      <c r="H997" t="str">
        <f>_xlfn.XLOOKUP(D997,stores!A:A,stores!B:B)</f>
        <v>Ohrid</v>
      </c>
      <c r="I997" t="str">
        <f t="shared" si="30"/>
        <v>NORMAL</v>
      </c>
      <c r="J997" s="4" t="str">
        <f t="shared" si="31"/>
        <v>9</v>
      </c>
    </row>
    <row r="998" spans="1:10">
      <c r="A998" s="2">
        <v>997</v>
      </c>
      <c r="B998" s="3">
        <v>46275</v>
      </c>
      <c r="C998" s="2">
        <v>2</v>
      </c>
      <c r="D998" s="2">
        <v>1</v>
      </c>
      <c r="E998" s="2">
        <v>22.1</v>
      </c>
      <c r="F998" s="2">
        <v>1989</v>
      </c>
      <c r="G998" t="str">
        <f>_xlfn.XLOOKUP(C998,products!A:A,products!B:B)</f>
        <v>Banana</v>
      </c>
      <c r="H998" t="str">
        <f>_xlfn.XLOOKUP(D998,stores!A:A,stores!B:B)</f>
        <v>Bitola</v>
      </c>
      <c r="I998" t="str">
        <f t="shared" si="30"/>
        <v>NORMAL</v>
      </c>
      <c r="J998" s="4" t="str">
        <f t="shared" si="31"/>
        <v>9</v>
      </c>
    </row>
    <row r="999" spans="1:10">
      <c r="A999" s="2">
        <v>998</v>
      </c>
      <c r="B999" s="3">
        <v>46275</v>
      </c>
      <c r="C999" s="2">
        <v>2</v>
      </c>
      <c r="D999" s="2">
        <v>2</v>
      </c>
      <c r="E999" s="2">
        <v>27.1</v>
      </c>
      <c r="F999" s="2">
        <v>2439</v>
      </c>
      <c r="G999" t="str">
        <f>_xlfn.XLOOKUP(C999,products!A:A,products!B:B)</f>
        <v>Banana</v>
      </c>
      <c r="H999" t="str">
        <f>_xlfn.XLOOKUP(D999,stores!A:A,stores!B:B)</f>
        <v>Ohrid</v>
      </c>
      <c r="I999" t="str">
        <f t="shared" si="30"/>
        <v>NORMAL</v>
      </c>
      <c r="J999" s="4" t="str">
        <f t="shared" si="31"/>
        <v>9</v>
      </c>
    </row>
    <row r="1000" spans="1:10">
      <c r="A1000" s="2">
        <v>999</v>
      </c>
      <c r="B1000" s="3">
        <v>46275</v>
      </c>
      <c r="C1000" s="2">
        <v>3</v>
      </c>
      <c r="D1000" s="2">
        <v>1</v>
      </c>
      <c r="E1000" s="2">
        <v>19.2</v>
      </c>
      <c r="F1000" s="2">
        <v>1536</v>
      </c>
      <c r="G1000" t="str">
        <f>_xlfn.XLOOKUP(C1000,products!A:A,products!B:B)</f>
        <v>Orange</v>
      </c>
      <c r="H1000" t="str">
        <f>_xlfn.XLOOKUP(D1000,stores!A:A,stores!B:B)</f>
        <v>Bitola</v>
      </c>
      <c r="I1000" t="str">
        <f t="shared" si="30"/>
        <v>NORMAL</v>
      </c>
      <c r="J1000" s="4" t="str">
        <f t="shared" si="31"/>
        <v>9</v>
      </c>
    </row>
    <row r="1001" spans="1:10">
      <c r="A1001" s="2">
        <v>1000</v>
      </c>
      <c r="B1001" s="3">
        <v>46275</v>
      </c>
      <c r="C1001" s="2">
        <v>3</v>
      </c>
      <c r="D1001" s="2">
        <v>2</v>
      </c>
      <c r="E1001" s="2">
        <v>11.1</v>
      </c>
      <c r="F1001" s="2">
        <v>888</v>
      </c>
      <c r="G1001" t="str">
        <f>_xlfn.XLOOKUP(C1001,products!A:A,products!B:B)</f>
        <v>Orange</v>
      </c>
      <c r="H1001" t="str">
        <f>_xlfn.XLOOKUP(D1001,stores!A:A,stores!B:B)</f>
        <v>Ohrid</v>
      </c>
      <c r="I1001" t="str">
        <f t="shared" si="30"/>
        <v>NORMAL</v>
      </c>
      <c r="J1001" s="4" t="str">
        <f t="shared" si="31"/>
        <v>9</v>
      </c>
    </row>
    <row r="1002" spans="1:10">
      <c r="A1002" s="2">
        <v>1001</v>
      </c>
      <c r="B1002" s="3">
        <v>46275</v>
      </c>
      <c r="C1002" s="2">
        <v>4</v>
      </c>
      <c r="D1002" s="2">
        <v>1</v>
      </c>
      <c r="E1002" s="2">
        <v>37.4</v>
      </c>
      <c r="F1002" s="2">
        <v>935</v>
      </c>
      <c r="G1002" t="str">
        <f>_xlfn.XLOOKUP(C1002,products!A:A,products!B:B)</f>
        <v>Watermelon</v>
      </c>
      <c r="H1002" t="str">
        <f>_xlfn.XLOOKUP(D1002,stores!A:A,stores!B:B)</f>
        <v>Bitola</v>
      </c>
      <c r="I1002" t="str">
        <f t="shared" si="30"/>
        <v>NORMAL</v>
      </c>
      <c r="J1002" s="4" t="str">
        <f t="shared" si="31"/>
        <v>9</v>
      </c>
    </row>
    <row r="1003" spans="1:10">
      <c r="A1003" s="2">
        <v>1002</v>
      </c>
      <c r="B1003" s="3">
        <v>46275</v>
      </c>
      <c r="C1003" s="2">
        <v>4</v>
      </c>
      <c r="D1003" s="2">
        <v>2</v>
      </c>
      <c r="E1003" s="2">
        <v>31.8</v>
      </c>
      <c r="F1003" s="2">
        <v>795</v>
      </c>
      <c r="G1003" t="str">
        <f>_xlfn.XLOOKUP(C1003,products!A:A,products!B:B)</f>
        <v>Watermelon</v>
      </c>
      <c r="H1003" t="str">
        <f>_xlfn.XLOOKUP(D1003,stores!A:A,stores!B:B)</f>
        <v>Ohrid</v>
      </c>
      <c r="I1003" t="str">
        <f t="shared" si="30"/>
        <v>NORMAL</v>
      </c>
      <c r="J1003" s="4" t="str">
        <f t="shared" si="31"/>
        <v>9</v>
      </c>
    </row>
    <row r="1004" spans="1:10">
      <c r="A1004" s="2">
        <v>1003</v>
      </c>
      <c r="B1004" s="3">
        <v>46275</v>
      </c>
      <c r="C1004" s="2">
        <v>5</v>
      </c>
      <c r="D1004" s="2">
        <v>1</v>
      </c>
      <c r="E1004" s="2">
        <v>13.1</v>
      </c>
      <c r="F1004" s="2">
        <v>1441</v>
      </c>
      <c r="G1004" t="str">
        <f>_xlfn.XLOOKUP(C1004,products!A:A,products!B:B)</f>
        <v>Grapes</v>
      </c>
      <c r="H1004" t="str">
        <f>_xlfn.XLOOKUP(D1004,stores!A:A,stores!B:B)</f>
        <v>Bitola</v>
      </c>
      <c r="I1004" t="str">
        <f t="shared" si="30"/>
        <v>NORMAL</v>
      </c>
      <c r="J1004" s="4" t="str">
        <f t="shared" si="31"/>
        <v>9</v>
      </c>
    </row>
    <row r="1005" spans="1:10">
      <c r="A1005" s="2">
        <v>1004</v>
      </c>
      <c r="B1005" s="3">
        <v>46275</v>
      </c>
      <c r="C1005" s="2">
        <v>5</v>
      </c>
      <c r="D1005" s="2">
        <v>2</v>
      </c>
      <c r="E1005" s="2">
        <v>21.4</v>
      </c>
      <c r="F1005" s="2">
        <v>2354</v>
      </c>
      <c r="G1005" t="str">
        <f>_xlfn.XLOOKUP(C1005,products!A:A,products!B:B)</f>
        <v>Grapes</v>
      </c>
      <c r="H1005" t="str">
        <f>_xlfn.XLOOKUP(D1005,stores!A:A,stores!B:B)</f>
        <v>Ohrid</v>
      </c>
      <c r="I1005" t="str">
        <f t="shared" si="30"/>
        <v>NORMAL</v>
      </c>
      <c r="J1005" s="4" t="str">
        <f t="shared" si="31"/>
        <v>9</v>
      </c>
    </row>
    <row r="1006" spans="1:10">
      <c r="A1006" s="2">
        <v>1005</v>
      </c>
      <c r="B1006" s="3">
        <v>46275</v>
      </c>
      <c r="C1006" s="2">
        <v>6</v>
      </c>
      <c r="D1006" s="2">
        <v>1</v>
      </c>
      <c r="E1006" s="2">
        <v>1.7</v>
      </c>
      <c r="F1006" s="2">
        <v>374</v>
      </c>
      <c r="G1006" t="str">
        <f>_xlfn.XLOOKUP(C1006,products!A:A,products!B:B)</f>
        <v>Strawberry</v>
      </c>
      <c r="H1006" t="str">
        <f>_xlfn.XLOOKUP(D1006,stores!A:A,stores!B:B)</f>
        <v>Bitola</v>
      </c>
      <c r="I1006" t="str">
        <f t="shared" si="30"/>
        <v>NORMAL</v>
      </c>
      <c r="J1006" s="4" t="str">
        <f t="shared" si="31"/>
        <v>9</v>
      </c>
    </row>
    <row r="1007" spans="1:10">
      <c r="A1007" s="2">
        <v>1006</v>
      </c>
      <c r="B1007" s="3">
        <v>46275</v>
      </c>
      <c r="C1007" s="2">
        <v>6</v>
      </c>
      <c r="D1007" s="2">
        <v>2</v>
      </c>
      <c r="E1007" s="2">
        <v>2.1</v>
      </c>
      <c r="F1007" s="2">
        <v>462</v>
      </c>
      <c r="G1007" t="str">
        <f>_xlfn.XLOOKUP(C1007,products!A:A,products!B:B)</f>
        <v>Strawberry</v>
      </c>
      <c r="H1007" t="str">
        <f>_xlfn.XLOOKUP(D1007,stores!A:A,stores!B:B)</f>
        <v>Ohrid</v>
      </c>
      <c r="I1007" t="str">
        <f t="shared" si="30"/>
        <v>NORMAL</v>
      </c>
      <c r="J1007" s="4" t="str">
        <f t="shared" si="31"/>
        <v>9</v>
      </c>
    </row>
    <row r="1008" spans="1:10">
      <c r="A1008" s="2">
        <v>1007</v>
      </c>
      <c r="B1008" s="3">
        <v>46275</v>
      </c>
      <c r="C1008" s="2">
        <v>7</v>
      </c>
      <c r="D1008" s="2">
        <v>1</v>
      </c>
      <c r="E1008" s="2">
        <v>10.4</v>
      </c>
      <c r="F1008" s="2">
        <v>988</v>
      </c>
      <c r="G1008" t="str">
        <f>_xlfn.XLOOKUP(C1008,products!A:A,products!B:B)</f>
        <v>Peach</v>
      </c>
      <c r="H1008" t="str">
        <f>_xlfn.XLOOKUP(D1008,stores!A:A,stores!B:B)</f>
        <v>Bitola</v>
      </c>
      <c r="I1008" t="str">
        <f t="shared" si="30"/>
        <v>NORMAL</v>
      </c>
      <c r="J1008" s="4" t="str">
        <f t="shared" si="31"/>
        <v>9</v>
      </c>
    </row>
    <row r="1009" spans="1:10">
      <c r="A1009" s="2">
        <v>1008</v>
      </c>
      <c r="B1009" s="3">
        <v>46275</v>
      </c>
      <c r="C1009" s="2">
        <v>7</v>
      </c>
      <c r="D1009" s="2">
        <v>2</v>
      </c>
      <c r="E1009" s="2">
        <v>9.9</v>
      </c>
      <c r="F1009" s="2">
        <v>940</v>
      </c>
      <c r="G1009" t="str">
        <f>_xlfn.XLOOKUP(C1009,products!A:A,products!B:B)</f>
        <v>Peach</v>
      </c>
      <c r="H1009" t="str">
        <f>_xlfn.XLOOKUP(D1009,stores!A:A,stores!B:B)</f>
        <v>Ohrid</v>
      </c>
      <c r="I1009" t="str">
        <f t="shared" si="30"/>
        <v>NORMAL</v>
      </c>
      <c r="J1009" s="4" t="str">
        <f t="shared" si="31"/>
        <v>9</v>
      </c>
    </row>
    <row r="1010" spans="1:10">
      <c r="A1010" s="2">
        <v>1009</v>
      </c>
      <c r="B1010" s="3">
        <v>46276</v>
      </c>
      <c r="C1010" s="2">
        <v>1</v>
      </c>
      <c r="D1010" s="2">
        <v>1</v>
      </c>
      <c r="E1010" s="2">
        <v>36.1</v>
      </c>
      <c r="F1010" s="2">
        <v>2166</v>
      </c>
      <c r="G1010" t="str">
        <f>_xlfn.XLOOKUP(C1010,products!A:A,products!B:B)</f>
        <v>Apple</v>
      </c>
      <c r="H1010" t="str">
        <f>_xlfn.XLOOKUP(D1010,stores!A:A,stores!B:B)</f>
        <v>Bitola</v>
      </c>
      <c r="I1010" t="str">
        <f t="shared" si="30"/>
        <v>NORMAL</v>
      </c>
      <c r="J1010" s="4" t="str">
        <f t="shared" si="31"/>
        <v>9</v>
      </c>
    </row>
    <row r="1011" spans="1:10">
      <c r="A1011" s="2">
        <v>1010</v>
      </c>
      <c r="B1011" s="3">
        <v>46276</v>
      </c>
      <c r="C1011" s="2">
        <v>1</v>
      </c>
      <c r="D1011" s="2">
        <v>2</v>
      </c>
      <c r="E1011" s="2">
        <v>23.6</v>
      </c>
      <c r="F1011" s="2">
        <v>1416</v>
      </c>
      <c r="G1011" t="str">
        <f>_xlfn.XLOOKUP(C1011,products!A:A,products!B:B)</f>
        <v>Apple</v>
      </c>
      <c r="H1011" t="str">
        <f>_xlfn.XLOOKUP(D1011,stores!A:A,stores!B:B)</f>
        <v>Ohrid</v>
      </c>
      <c r="I1011" t="str">
        <f t="shared" si="30"/>
        <v>NORMAL</v>
      </c>
      <c r="J1011" s="4" t="str">
        <f t="shared" si="31"/>
        <v>9</v>
      </c>
    </row>
    <row r="1012" spans="1:10">
      <c r="A1012" s="2">
        <v>1011</v>
      </c>
      <c r="B1012" s="3">
        <v>46276</v>
      </c>
      <c r="C1012" s="2">
        <v>2</v>
      </c>
      <c r="D1012" s="2">
        <v>1</v>
      </c>
      <c r="E1012" s="2">
        <v>22.1</v>
      </c>
      <c r="F1012" s="2">
        <v>1989</v>
      </c>
      <c r="G1012" t="str">
        <f>_xlfn.XLOOKUP(C1012,products!A:A,products!B:B)</f>
        <v>Banana</v>
      </c>
      <c r="H1012" t="str">
        <f>_xlfn.XLOOKUP(D1012,stores!A:A,stores!B:B)</f>
        <v>Bitola</v>
      </c>
      <c r="I1012" t="str">
        <f t="shared" si="30"/>
        <v>NORMAL</v>
      </c>
      <c r="J1012" s="4" t="str">
        <f t="shared" si="31"/>
        <v>9</v>
      </c>
    </row>
    <row r="1013" spans="1:10">
      <c r="A1013" s="2">
        <v>1012</v>
      </c>
      <c r="B1013" s="3">
        <v>46276</v>
      </c>
      <c r="C1013" s="2">
        <v>2</v>
      </c>
      <c r="D1013" s="2">
        <v>2</v>
      </c>
      <c r="E1013" s="2">
        <v>17.7</v>
      </c>
      <c r="F1013" s="2">
        <v>1593</v>
      </c>
      <c r="G1013" t="str">
        <f>_xlfn.XLOOKUP(C1013,products!A:A,products!B:B)</f>
        <v>Banana</v>
      </c>
      <c r="H1013" t="str">
        <f>_xlfn.XLOOKUP(D1013,stores!A:A,stores!B:B)</f>
        <v>Ohrid</v>
      </c>
      <c r="I1013" t="str">
        <f t="shared" si="30"/>
        <v>NORMAL</v>
      </c>
      <c r="J1013" s="4" t="str">
        <f t="shared" si="31"/>
        <v>9</v>
      </c>
    </row>
    <row r="1014" spans="1:10">
      <c r="A1014" s="2">
        <v>1013</v>
      </c>
      <c r="B1014" s="3">
        <v>46276</v>
      </c>
      <c r="C1014" s="2">
        <v>3</v>
      </c>
      <c r="D1014" s="2">
        <v>1</v>
      </c>
      <c r="E1014" s="2">
        <v>13.5</v>
      </c>
      <c r="F1014" s="2">
        <v>1080</v>
      </c>
      <c r="G1014" t="str">
        <f>_xlfn.XLOOKUP(C1014,products!A:A,products!B:B)</f>
        <v>Orange</v>
      </c>
      <c r="H1014" t="str">
        <f>_xlfn.XLOOKUP(D1014,stores!A:A,stores!B:B)</f>
        <v>Bitola</v>
      </c>
      <c r="I1014" t="str">
        <f t="shared" si="30"/>
        <v>NORMAL</v>
      </c>
      <c r="J1014" s="4" t="str">
        <f t="shared" si="31"/>
        <v>9</v>
      </c>
    </row>
    <row r="1015" spans="1:10">
      <c r="A1015" s="2">
        <v>1014</v>
      </c>
      <c r="B1015" s="3">
        <v>46276</v>
      </c>
      <c r="C1015" s="2">
        <v>3</v>
      </c>
      <c r="D1015" s="2">
        <v>2</v>
      </c>
      <c r="E1015" s="2">
        <v>12.3</v>
      </c>
      <c r="F1015" s="2">
        <v>984</v>
      </c>
      <c r="G1015" t="str">
        <f>_xlfn.XLOOKUP(C1015,products!A:A,products!B:B)</f>
        <v>Orange</v>
      </c>
      <c r="H1015" t="str">
        <f>_xlfn.XLOOKUP(D1015,stores!A:A,stores!B:B)</f>
        <v>Ohrid</v>
      </c>
      <c r="I1015" t="str">
        <f t="shared" si="30"/>
        <v>NORMAL</v>
      </c>
      <c r="J1015" s="4" t="str">
        <f t="shared" si="31"/>
        <v>9</v>
      </c>
    </row>
    <row r="1016" spans="1:10">
      <c r="A1016" s="2">
        <v>1015</v>
      </c>
      <c r="B1016" s="3">
        <v>46276</v>
      </c>
      <c r="C1016" s="2">
        <v>4</v>
      </c>
      <c r="D1016" s="2">
        <v>1</v>
      </c>
      <c r="E1016" s="2">
        <v>31</v>
      </c>
      <c r="F1016" s="2">
        <v>775</v>
      </c>
      <c r="G1016" t="str">
        <f>_xlfn.XLOOKUP(C1016,products!A:A,products!B:B)</f>
        <v>Watermelon</v>
      </c>
      <c r="H1016" t="str">
        <f>_xlfn.XLOOKUP(D1016,stores!A:A,stores!B:B)</f>
        <v>Bitola</v>
      </c>
      <c r="I1016" t="str">
        <f t="shared" si="30"/>
        <v>NORMAL</v>
      </c>
      <c r="J1016" s="4" t="str">
        <f t="shared" si="31"/>
        <v>9</v>
      </c>
    </row>
    <row r="1017" spans="1:10">
      <c r="A1017" s="2">
        <v>1016</v>
      </c>
      <c r="B1017" s="3">
        <v>46276</v>
      </c>
      <c r="C1017" s="2">
        <v>4</v>
      </c>
      <c r="D1017" s="2">
        <v>2</v>
      </c>
      <c r="E1017" s="2">
        <v>23.1</v>
      </c>
      <c r="F1017" s="2">
        <v>578</v>
      </c>
      <c r="G1017" t="str">
        <f>_xlfn.XLOOKUP(C1017,products!A:A,products!B:B)</f>
        <v>Watermelon</v>
      </c>
      <c r="H1017" t="str">
        <f>_xlfn.XLOOKUP(D1017,stores!A:A,stores!B:B)</f>
        <v>Ohrid</v>
      </c>
      <c r="I1017" t="str">
        <f t="shared" si="30"/>
        <v>NORMAL</v>
      </c>
      <c r="J1017" s="4" t="str">
        <f t="shared" si="31"/>
        <v>9</v>
      </c>
    </row>
    <row r="1018" spans="1:10">
      <c r="A1018" s="2">
        <v>1017</v>
      </c>
      <c r="B1018" s="3">
        <v>46276</v>
      </c>
      <c r="C1018" s="2">
        <v>5</v>
      </c>
      <c r="D1018" s="2">
        <v>1</v>
      </c>
      <c r="E1018" s="2">
        <v>33.1</v>
      </c>
      <c r="F1018" s="2">
        <v>3641</v>
      </c>
      <c r="G1018" t="str">
        <f>_xlfn.XLOOKUP(C1018,products!A:A,products!B:B)</f>
        <v>Grapes</v>
      </c>
      <c r="H1018" t="str">
        <f>_xlfn.XLOOKUP(D1018,stores!A:A,stores!B:B)</f>
        <v>Bitola</v>
      </c>
      <c r="I1018" t="str">
        <f t="shared" si="30"/>
        <v>NORMAL</v>
      </c>
      <c r="J1018" s="4" t="str">
        <f t="shared" si="31"/>
        <v>9</v>
      </c>
    </row>
    <row r="1019" spans="1:10">
      <c r="A1019" s="2">
        <v>1018</v>
      </c>
      <c r="B1019" s="3">
        <v>46276</v>
      </c>
      <c r="C1019" s="2">
        <v>5</v>
      </c>
      <c r="D1019" s="2">
        <v>2</v>
      </c>
      <c r="E1019" s="2">
        <v>29.8</v>
      </c>
      <c r="F1019" s="2">
        <v>3278</v>
      </c>
      <c r="G1019" t="str">
        <f>_xlfn.XLOOKUP(C1019,products!A:A,products!B:B)</f>
        <v>Grapes</v>
      </c>
      <c r="H1019" t="str">
        <f>_xlfn.XLOOKUP(D1019,stores!A:A,stores!B:B)</f>
        <v>Ohrid</v>
      </c>
      <c r="I1019" t="str">
        <f t="shared" si="30"/>
        <v>NORMAL</v>
      </c>
      <c r="J1019" s="4" t="str">
        <f t="shared" si="31"/>
        <v>9</v>
      </c>
    </row>
    <row r="1020" spans="1:10">
      <c r="A1020" s="2">
        <v>1019</v>
      </c>
      <c r="B1020" s="3">
        <v>46276</v>
      </c>
      <c r="C1020" s="2">
        <v>6</v>
      </c>
      <c r="D1020" s="2">
        <v>1</v>
      </c>
      <c r="E1020" s="2">
        <v>2.6</v>
      </c>
      <c r="F1020" s="2">
        <v>572</v>
      </c>
      <c r="G1020" t="str">
        <f>_xlfn.XLOOKUP(C1020,products!A:A,products!B:B)</f>
        <v>Strawberry</v>
      </c>
      <c r="H1020" t="str">
        <f>_xlfn.XLOOKUP(D1020,stores!A:A,stores!B:B)</f>
        <v>Bitola</v>
      </c>
      <c r="I1020" t="str">
        <f t="shared" si="30"/>
        <v>NORMAL</v>
      </c>
      <c r="J1020" s="4" t="str">
        <f t="shared" si="31"/>
        <v>9</v>
      </c>
    </row>
    <row r="1021" spans="1:10">
      <c r="A1021" s="2">
        <v>1020</v>
      </c>
      <c r="B1021" s="3">
        <v>46276</v>
      </c>
      <c r="C1021" s="2">
        <v>6</v>
      </c>
      <c r="D1021" s="2">
        <v>2</v>
      </c>
      <c r="E1021" s="2">
        <v>2.1</v>
      </c>
      <c r="F1021" s="2">
        <v>462</v>
      </c>
      <c r="G1021" t="str">
        <f>_xlfn.XLOOKUP(C1021,products!A:A,products!B:B)</f>
        <v>Strawberry</v>
      </c>
      <c r="H1021" t="str">
        <f>_xlfn.XLOOKUP(D1021,stores!A:A,stores!B:B)</f>
        <v>Ohrid</v>
      </c>
      <c r="I1021" t="str">
        <f t="shared" si="30"/>
        <v>NORMAL</v>
      </c>
      <c r="J1021" s="4" t="str">
        <f t="shared" si="31"/>
        <v>9</v>
      </c>
    </row>
    <row r="1022" spans="1:10">
      <c r="A1022" s="2">
        <v>1021</v>
      </c>
      <c r="B1022" s="3">
        <v>46276</v>
      </c>
      <c r="C1022" s="2">
        <v>7</v>
      </c>
      <c r="D1022" s="2">
        <v>1</v>
      </c>
      <c r="E1022" s="2">
        <v>10.4</v>
      </c>
      <c r="F1022" s="2">
        <v>988</v>
      </c>
      <c r="G1022" t="str">
        <f>_xlfn.XLOOKUP(C1022,products!A:A,products!B:B)</f>
        <v>Peach</v>
      </c>
      <c r="H1022" t="str">
        <f>_xlfn.XLOOKUP(D1022,stores!A:A,stores!B:B)</f>
        <v>Bitola</v>
      </c>
      <c r="I1022" t="str">
        <f t="shared" si="30"/>
        <v>NORMAL</v>
      </c>
      <c r="J1022" s="4" t="str">
        <f t="shared" si="31"/>
        <v>9</v>
      </c>
    </row>
    <row r="1023" spans="1:10">
      <c r="A1023" s="2">
        <v>1022</v>
      </c>
      <c r="B1023" s="3">
        <v>46276</v>
      </c>
      <c r="C1023" s="2">
        <v>7</v>
      </c>
      <c r="D1023" s="2">
        <v>2</v>
      </c>
      <c r="E1023" s="2">
        <v>10.2</v>
      </c>
      <c r="F1023" s="2">
        <v>969</v>
      </c>
      <c r="G1023" t="str">
        <f>_xlfn.XLOOKUP(C1023,products!A:A,products!B:B)</f>
        <v>Peach</v>
      </c>
      <c r="H1023" t="str">
        <f>_xlfn.XLOOKUP(D1023,stores!A:A,stores!B:B)</f>
        <v>Ohrid</v>
      </c>
      <c r="I1023" t="str">
        <f t="shared" si="30"/>
        <v>NORMAL</v>
      </c>
      <c r="J1023" s="4" t="str">
        <f t="shared" si="31"/>
        <v>9</v>
      </c>
    </row>
    <row r="1024" spans="1:10">
      <c r="A1024" s="2">
        <v>1023</v>
      </c>
      <c r="B1024" s="3">
        <v>46277</v>
      </c>
      <c r="C1024" s="2">
        <v>1</v>
      </c>
      <c r="D1024" s="2">
        <v>1</v>
      </c>
      <c r="E1024" s="2">
        <v>44.9</v>
      </c>
      <c r="F1024" s="2">
        <v>2694</v>
      </c>
      <c r="G1024" t="str">
        <f>_xlfn.XLOOKUP(C1024,products!A:A,products!B:B)</f>
        <v>Apple</v>
      </c>
      <c r="H1024" t="str">
        <f>_xlfn.XLOOKUP(D1024,stores!A:A,stores!B:B)</f>
        <v>Bitola</v>
      </c>
      <c r="I1024" t="str">
        <f t="shared" si="30"/>
        <v>NORMAL</v>
      </c>
      <c r="J1024" s="4" t="str">
        <f t="shared" si="31"/>
        <v>9</v>
      </c>
    </row>
    <row r="1025" spans="1:10">
      <c r="A1025" s="2">
        <v>1024</v>
      </c>
      <c r="B1025" s="3">
        <v>46277</v>
      </c>
      <c r="C1025" s="2">
        <v>1</v>
      </c>
      <c r="D1025" s="2">
        <v>2</v>
      </c>
      <c r="E1025" s="2">
        <v>31.3</v>
      </c>
      <c r="F1025" s="2">
        <v>1878</v>
      </c>
      <c r="G1025" t="str">
        <f>_xlfn.XLOOKUP(C1025,products!A:A,products!B:B)</f>
        <v>Apple</v>
      </c>
      <c r="H1025" t="str">
        <f>_xlfn.XLOOKUP(D1025,stores!A:A,stores!B:B)</f>
        <v>Ohrid</v>
      </c>
      <c r="I1025" t="str">
        <f t="shared" si="30"/>
        <v>NORMAL</v>
      </c>
      <c r="J1025" s="4" t="str">
        <f t="shared" si="31"/>
        <v>9</v>
      </c>
    </row>
    <row r="1026" spans="1:10">
      <c r="A1026" s="2">
        <v>1025</v>
      </c>
      <c r="B1026" s="3">
        <v>46277</v>
      </c>
      <c r="C1026" s="2">
        <v>2</v>
      </c>
      <c r="D1026" s="2">
        <v>1</v>
      </c>
      <c r="E1026" s="2">
        <v>40.9</v>
      </c>
      <c r="F1026" s="2">
        <v>3681</v>
      </c>
      <c r="G1026" t="str">
        <f>_xlfn.XLOOKUP(C1026,products!A:A,products!B:B)</f>
        <v>Banana</v>
      </c>
      <c r="H1026" t="str">
        <f>_xlfn.XLOOKUP(D1026,stores!A:A,stores!B:B)</f>
        <v>Bitola</v>
      </c>
      <c r="I1026" t="str">
        <f t="shared" ref="I1026:I1089" si="32">IF(E1026&gt;50,"BIG","NORMAL")</f>
        <v>NORMAL</v>
      </c>
      <c r="J1026" s="4" t="str">
        <f t="shared" ref="J1026:J1089" si="33">TEXT(B1026,"m")</f>
        <v>9</v>
      </c>
    </row>
    <row r="1027" spans="1:10">
      <c r="A1027" s="2">
        <v>1026</v>
      </c>
      <c r="B1027" s="3">
        <v>46277</v>
      </c>
      <c r="C1027" s="2">
        <v>2</v>
      </c>
      <c r="D1027" s="2">
        <v>2</v>
      </c>
      <c r="E1027" s="2">
        <v>39.3</v>
      </c>
      <c r="F1027" s="2">
        <v>3537</v>
      </c>
      <c r="G1027" t="str">
        <f>_xlfn.XLOOKUP(C1027,products!A:A,products!B:B)</f>
        <v>Banana</v>
      </c>
      <c r="H1027" t="str">
        <f>_xlfn.XLOOKUP(D1027,stores!A:A,stores!B:B)</f>
        <v>Ohrid</v>
      </c>
      <c r="I1027" t="str">
        <f t="shared" si="32"/>
        <v>NORMAL</v>
      </c>
      <c r="J1027" s="4" t="str">
        <f t="shared" si="33"/>
        <v>9</v>
      </c>
    </row>
    <row r="1028" spans="1:10">
      <c r="A1028" s="2">
        <v>1027</v>
      </c>
      <c r="B1028" s="3">
        <v>46277</v>
      </c>
      <c r="C1028" s="2">
        <v>3</v>
      </c>
      <c r="D1028" s="2">
        <v>1</v>
      </c>
      <c r="E1028" s="2">
        <v>24.4</v>
      </c>
      <c r="F1028" s="2">
        <v>1952</v>
      </c>
      <c r="G1028" t="str">
        <f>_xlfn.XLOOKUP(C1028,products!A:A,products!B:B)</f>
        <v>Orange</v>
      </c>
      <c r="H1028" t="str">
        <f>_xlfn.XLOOKUP(D1028,stores!A:A,stores!B:B)</f>
        <v>Bitola</v>
      </c>
      <c r="I1028" t="str">
        <f t="shared" si="32"/>
        <v>NORMAL</v>
      </c>
      <c r="J1028" s="4" t="str">
        <f t="shared" si="33"/>
        <v>9</v>
      </c>
    </row>
    <row r="1029" spans="1:10">
      <c r="A1029" s="2">
        <v>1028</v>
      </c>
      <c r="B1029" s="3">
        <v>46277</v>
      </c>
      <c r="C1029" s="2">
        <v>3</v>
      </c>
      <c r="D1029" s="2">
        <v>2</v>
      </c>
      <c r="E1029" s="2">
        <v>15.9</v>
      </c>
      <c r="F1029" s="2">
        <v>1272</v>
      </c>
      <c r="G1029" t="str">
        <f>_xlfn.XLOOKUP(C1029,products!A:A,products!B:B)</f>
        <v>Orange</v>
      </c>
      <c r="H1029" t="str">
        <f>_xlfn.XLOOKUP(D1029,stores!A:A,stores!B:B)</f>
        <v>Ohrid</v>
      </c>
      <c r="I1029" t="str">
        <f t="shared" si="32"/>
        <v>NORMAL</v>
      </c>
      <c r="J1029" s="4" t="str">
        <f t="shared" si="33"/>
        <v>9</v>
      </c>
    </row>
    <row r="1030" spans="1:10">
      <c r="A1030" s="2">
        <v>1029</v>
      </c>
      <c r="B1030" s="3">
        <v>46277</v>
      </c>
      <c r="C1030" s="2">
        <v>4</v>
      </c>
      <c r="D1030" s="2">
        <v>1</v>
      </c>
      <c r="E1030" s="2">
        <v>39.9</v>
      </c>
      <c r="F1030" s="2">
        <v>998</v>
      </c>
      <c r="G1030" t="str">
        <f>_xlfn.XLOOKUP(C1030,products!A:A,products!B:B)</f>
        <v>Watermelon</v>
      </c>
      <c r="H1030" t="str">
        <f>_xlfn.XLOOKUP(D1030,stores!A:A,stores!B:B)</f>
        <v>Bitola</v>
      </c>
      <c r="I1030" t="str">
        <f t="shared" si="32"/>
        <v>NORMAL</v>
      </c>
      <c r="J1030" s="4" t="str">
        <f t="shared" si="33"/>
        <v>9</v>
      </c>
    </row>
    <row r="1031" spans="1:10">
      <c r="A1031" s="2">
        <v>1030</v>
      </c>
      <c r="B1031" s="3">
        <v>46277</v>
      </c>
      <c r="C1031" s="2">
        <v>4</v>
      </c>
      <c r="D1031" s="2">
        <v>2</v>
      </c>
      <c r="E1031" s="2">
        <v>36.6</v>
      </c>
      <c r="F1031" s="2">
        <v>915</v>
      </c>
      <c r="G1031" t="str">
        <f>_xlfn.XLOOKUP(C1031,products!A:A,products!B:B)</f>
        <v>Watermelon</v>
      </c>
      <c r="H1031" t="str">
        <f>_xlfn.XLOOKUP(D1031,stores!A:A,stores!B:B)</f>
        <v>Ohrid</v>
      </c>
      <c r="I1031" t="str">
        <f t="shared" si="32"/>
        <v>NORMAL</v>
      </c>
      <c r="J1031" s="4" t="str">
        <f t="shared" si="33"/>
        <v>9</v>
      </c>
    </row>
    <row r="1032" spans="1:10">
      <c r="A1032" s="2">
        <v>1031</v>
      </c>
      <c r="B1032" s="3">
        <v>46277</v>
      </c>
      <c r="C1032" s="2">
        <v>5</v>
      </c>
      <c r="D1032" s="2">
        <v>1</v>
      </c>
      <c r="E1032" s="2">
        <v>35</v>
      </c>
      <c r="F1032" s="2">
        <v>3850</v>
      </c>
      <c r="G1032" t="str">
        <f>_xlfn.XLOOKUP(C1032,products!A:A,products!B:B)</f>
        <v>Grapes</v>
      </c>
      <c r="H1032" t="str">
        <f>_xlfn.XLOOKUP(D1032,stores!A:A,stores!B:B)</f>
        <v>Bitola</v>
      </c>
      <c r="I1032" t="str">
        <f t="shared" si="32"/>
        <v>NORMAL</v>
      </c>
      <c r="J1032" s="4" t="str">
        <f t="shared" si="33"/>
        <v>9</v>
      </c>
    </row>
    <row r="1033" spans="1:10">
      <c r="A1033" s="2">
        <v>1032</v>
      </c>
      <c r="B1033" s="3">
        <v>46277</v>
      </c>
      <c r="C1033" s="2">
        <v>5</v>
      </c>
      <c r="D1033" s="2">
        <v>2</v>
      </c>
      <c r="E1033" s="2">
        <v>35.4</v>
      </c>
      <c r="F1033" s="2">
        <v>3894</v>
      </c>
      <c r="G1033" t="str">
        <f>_xlfn.XLOOKUP(C1033,products!A:A,products!B:B)</f>
        <v>Grapes</v>
      </c>
      <c r="H1033" t="str">
        <f>_xlfn.XLOOKUP(D1033,stores!A:A,stores!B:B)</f>
        <v>Ohrid</v>
      </c>
      <c r="I1033" t="str">
        <f t="shared" si="32"/>
        <v>NORMAL</v>
      </c>
      <c r="J1033" s="4" t="str">
        <f t="shared" si="33"/>
        <v>9</v>
      </c>
    </row>
    <row r="1034" spans="1:10">
      <c r="A1034" s="2">
        <v>1033</v>
      </c>
      <c r="B1034" s="3">
        <v>46277</v>
      </c>
      <c r="C1034" s="2">
        <v>6</v>
      </c>
      <c r="D1034" s="2">
        <v>1</v>
      </c>
      <c r="E1034" s="2">
        <v>2.4</v>
      </c>
      <c r="F1034" s="2">
        <v>528</v>
      </c>
      <c r="G1034" t="str">
        <f>_xlfn.XLOOKUP(C1034,products!A:A,products!B:B)</f>
        <v>Strawberry</v>
      </c>
      <c r="H1034" t="str">
        <f>_xlfn.XLOOKUP(D1034,stores!A:A,stores!B:B)</f>
        <v>Bitola</v>
      </c>
      <c r="I1034" t="str">
        <f t="shared" si="32"/>
        <v>NORMAL</v>
      </c>
      <c r="J1034" s="4" t="str">
        <f t="shared" si="33"/>
        <v>9</v>
      </c>
    </row>
    <row r="1035" spans="1:10">
      <c r="A1035" s="2">
        <v>1034</v>
      </c>
      <c r="B1035" s="3">
        <v>46277</v>
      </c>
      <c r="C1035" s="2">
        <v>6</v>
      </c>
      <c r="D1035" s="2">
        <v>2</v>
      </c>
      <c r="E1035" s="2">
        <v>2.2</v>
      </c>
      <c r="F1035" s="2">
        <v>484</v>
      </c>
      <c r="G1035" t="str">
        <f>_xlfn.XLOOKUP(C1035,products!A:A,products!B:B)</f>
        <v>Strawberry</v>
      </c>
      <c r="H1035" t="str">
        <f>_xlfn.XLOOKUP(D1035,stores!A:A,stores!B:B)</f>
        <v>Ohrid</v>
      </c>
      <c r="I1035" t="str">
        <f t="shared" si="32"/>
        <v>NORMAL</v>
      </c>
      <c r="J1035" s="4" t="str">
        <f t="shared" si="33"/>
        <v>9</v>
      </c>
    </row>
    <row r="1036" spans="1:10">
      <c r="A1036" s="2">
        <v>1035</v>
      </c>
      <c r="B1036" s="3">
        <v>46277</v>
      </c>
      <c r="C1036" s="2">
        <v>7</v>
      </c>
      <c r="D1036" s="2">
        <v>1</v>
      </c>
      <c r="E1036" s="2">
        <v>16.9</v>
      </c>
      <c r="F1036" s="2">
        <v>1605</v>
      </c>
      <c r="G1036" t="str">
        <f>_xlfn.XLOOKUP(C1036,products!A:A,products!B:B)</f>
        <v>Peach</v>
      </c>
      <c r="H1036" t="str">
        <f>_xlfn.XLOOKUP(D1036,stores!A:A,stores!B:B)</f>
        <v>Bitola</v>
      </c>
      <c r="I1036" t="str">
        <f t="shared" si="32"/>
        <v>NORMAL</v>
      </c>
      <c r="J1036" s="4" t="str">
        <f t="shared" si="33"/>
        <v>9</v>
      </c>
    </row>
    <row r="1037" spans="1:10">
      <c r="A1037" s="2">
        <v>1036</v>
      </c>
      <c r="B1037" s="3">
        <v>46277</v>
      </c>
      <c r="C1037" s="2">
        <v>7</v>
      </c>
      <c r="D1037" s="2">
        <v>2</v>
      </c>
      <c r="E1037" s="2">
        <v>11.6</v>
      </c>
      <c r="F1037" s="2">
        <v>1102</v>
      </c>
      <c r="G1037" t="str">
        <f>_xlfn.XLOOKUP(C1037,products!A:A,products!B:B)</f>
        <v>Peach</v>
      </c>
      <c r="H1037" t="str">
        <f>_xlfn.XLOOKUP(D1037,stores!A:A,stores!B:B)</f>
        <v>Ohrid</v>
      </c>
      <c r="I1037" t="str">
        <f t="shared" si="32"/>
        <v>NORMAL</v>
      </c>
      <c r="J1037" s="4" t="str">
        <f t="shared" si="33"/>
        <v>9</v>
      </c>
    </row>
    <row r="1038" spans="1:10">
      <c r="A1038" s="2">
        <v>1037</v>
      </c>
      <c r="B1038" s="3">
        <v>46278</v>
      </c>
      <c r="C1038" s="2">
        <v>1</v>
      </c>
      <c r="D1038" s="2">
        <v>1</v>
      </c>
      <c r="E1038" s="2">
        <v>40.5</v>
      </c>
      <c r="F1038" s="2">
        <v>2430</v>
      </c>
      <c r="G1038" t="str">
        <f>_xlfn.XLOOKUP(C1038,products!A:A,products!B:B)</f>
        <v>Apple</v>
      </c>
      <c r="H1038" t="str">
        <f>_xlfn.XLOOKUP(D1038,stores!A:A,stores!B:B)</f>
        <v>Bitola</v>
      </c>
      <c r="I1038" t="str">
        <f t="shared" si="32"/>
        <v>NORMAL</v>
      </c>
      <c r="J1038" s="4" t="str">
        <f t="shared" si="33"/>
        <v>9</v>
      </c>
    </row>
    <row r="1039" spans="1:10">
      <c r="A1039" s="2">
        <v>1038</v>
      </c>
      <c r="B1039" s="3">
        <v>46278</v>
      </c>
      <c r="C1039" s="2">
        <v>1</v>
      </c>
      <c r="D1039" s="2">
        <v>2</v>
      </c>
      <c r="E1039" s="2">
        <v>42.4</v>
      </c>
      <c r="F1039" s="2">
        <v>2544</v>
      </c>
      <c r="G1039" t="str">
        <f>_xlfn.XLOOKUP(C1039,products!A:A,products!B:B)</f>
        <v>Apple</v>
      </c>
      <c r="H1039" t="str">
        <f>_xlfn.XLOOKUP(D1039,stores!A:A,stores!B:B)</f>
        <v>Ohrid</v>
      </c>
      <c r="I1039" t="str">
        <f t="shared" si="32"/>
        <v>NORMAL</v>
      </c>
      <c r="J1039" s="4" t="str">
        <f t="shared" si="33"/>
        <v>9</v>
      </c>
    </row>
    <row r="1040" spans="1:10">
      <c r="A1040" s="2">
        <v>1039</v>
      </c>
      <c r="B1040" s="3">
        <v>46278</v>
      </c>
      <c r="C1040" s="2">
        <v>2</v>
      </c>
      <c r="D1040" s="2">
        <v>1</v>
      </c>
      <c r="E1040" s="2">
        <v>33.5</v>
      </c>
      <c r="F1040" s="2">
        <v>3015</v>
      </c>
      <c r="G1040" t="str">
        <f>_xlfn.XLOOKUP(C1040,products!A:A,products!B:B)</f>
        <v>Banana</v>
      </c>
      <c r="H1040" t="str">
        <f>_xlfn.XLOOKUP(D1040,stores!A:A,stores!B:B)</f>
        <v>Bitola</v>
      </c>
      <c r="I1040" t="str">
        <f t="shared" si="32"/>
        <v>NORMAL</v>
      </c>
      <c r="J1040" s="4" t="str">
        <f t="shared" si="33"/>
        <v>9</v>
      </c>
    </row>
    <row r="1041" spans="1:10">
      <c r="A1041" s="2">
        <v>1040</v>
      </c>
      <c r="B1041" s="3">
        <v>46278</v>
      </c>
      <c r="C1041" s="2">
        <v>2</v>
      </c>
      <c r="D1041" s="2">
        <v>2</v>
      </c>
      <c r="E1041" s="2">
        <v>31</v>
      </c>
      <c r="F1041" s="2">
        <v>2790</v>
      </c>
      <c r="G1041" t="str">
        <f>_xlfn.XLOOKUP(C1041,products!A:A,products!B:B)</f>
        <v>Banana</v>
      </c>
      <c r="H1041" t="str">
        <f>_xlfn.XLOOKUP(D1041,stores!A:A,stores!B:B)</f>
        <v>Ohrid</v>
      </c>
      <c r="I1041" t="str">
        <f t="shared" si="32"/>
        <v>NORMAL</v>
      </c>
      <c r="J1041" s="4" t="str">
        <f t="shared" si="33"/>
        <v>9</v>
      </c>
    </row>
    <row r="1042" spans="1:10">
      <c r="A1042" s="2">
        <v>1041</v>
      </c>
      <c r="B1042" s="3">
        <v>46278</v>
      </c>
      <c r="C1042" s="2">
        <v>3</v>
      </c>
      <c r="D1042" s="2">
        <v>1</v>
      </c>
      <c r="E1042" s="2">
        <v>17.3</v>
      </c>
      <c r="F1042" s="2">
        <v>1384</v>
      </c>
      <c r="G1042" t="str">
        <f>_xlfn.XLOOKUP(C1042,products!A:A,products!B:B)</f>
        <v>Orange</v>
      </c>
      <c r="H1042" t="str">
        <f>_xlfn.XLOOKUP(D1042,stores!A:A,stores!B:B)</f>
        <v>Bitola</v>
      </c>
      <c r="I1042" t="str">
        <f t="shared" si="32"/>
        <v>NORMAL</v>
      </c>
      <c r="J1042" s="4" t="str">
        <f t="shared" si="33"/>
        <v>9</v>
      </c>
    </row>
    <row r="1043" spans="1:10">
      <c r="A1043" s="2">
        <v>1042</v>
      </c>
      <c r="B1043" s="3">
        <v>46278</v>
      </c>
      <c r="C1043" s="2">
        <v>3</v>
      </c>
      <c r="D1043" s="2">
        <v>2</v>
      </c>
      <c r="E1043" s="2">
        <v>11.9</v>
      </c>
      <c r="F1043" s="2">
        <v>952</v>
      </c>
      <c r="G1043" t="str">
        <f>_xlfn.XLOOKUP(C1043,products!A:A,products!B:B)</f>
        <v>Orange</v>
      </c>
      <c r="H1043" t="str">
        <f>_xlfn.XLOOKUP(D1043,stores!A:A,stores!B:B)</f>
        <v>Ohrid</v>
      </c>
      <c r="I1043" t="str">
        <f t="shared" si="32"/>
        <v>NORMAL</v>
      </c>
      <c r="J1043" s="4" t="str">
        <f t="shared" si="33"/>
        <v>9</v>
      </c>
    </row>
    <row r="1044" spans="1:10">
      <c r="A1044" s="2">
        <v>1043</v>
      </c>
      <c r="B1044" s="3">
        <v>46278</v>
      </c>
      <c r="C1044" s="2">
        <v>4</v>
      </c>
      <c r="D1044" s="2">
        <v>1</v>
      </c>
      <c r="E1044" s="2">
        <v>37.3</v>
      </c>
      <c r="F1044" s="2">
        <v>932</v>
      </c>
      <c r="G1044" t="str">
        <f>_xlfn.XLOOKUP(C1044,products!A:A,products!B:B)</f>
        <v>Watermelon</v>
      </c>
      <c r="H1044" t="str">
        <f>_xlfn.XLOOKUP(D1044,stores!A:A,stores!B:B)</f>
        <v>Bitola</v>
      </c>
      <c r="I1044" t="str">
        <f t="shared" si="32"/>
        <v>NORMAL</v>
      </c>
      <c r="J1044" s="4" t="str">
        <f t="shared" si="33"/>
        <v>9</v>
      </c>
    </row>
    <row r="1045" spans="1:10">
      <c r="A1045" s="2">
        <v>1044</v>
      </c>
      <c r="B1045" s="3">
        <v>46278</v>
      </c>
      <c r="C1045" s="2">
        <v>4</v>
      </c>
      <c r="D1045" s="2">
        <v>2</v>
      </c>
      <c r="E1045" s="2">
        <v>26.1</v>
      </c>
      <c r="F1045" s="2">
        <v>652</v>
      </c>
      <c r="G1045" t="str">
        <f>_xlfn.XLOOKUP(C1045,products!A:A,products!B:B)</f>
        <v>Watermelon</v>
      </c>
      <c r="H1045" t="str">
        <f>_xlfn.XLOOKUP(D1045,stores!A:A,stores!B:B)</f>
        <v>Ohrid</v>
      </c>
      <c r="I1045" t="str">
        <f t="shared" si="32"/>
        <v>NORMAL</v>
      </c>
      <c r="J1045" s="4" t="str">
        <f t="shared" si="33"/>
        <v>9</v>
      </c>
    </row>
    <row r="1046" spans="1:10">
      <c r="A1046" s="2">
        <v>1045</v>
      </c>
      <c r="B1046" s="3">
        <v>46278</v>
      </c>
      <c r="C1046" s="2">
        <v>5</v>
      </c>
      <c r="D1046" s="2">
        <v>1</v>
      </c>
      <c r="E1046" s="2">
        <v>36.5</v>
      </c>
      <c r="F1046" s="2">
        <v>4015</v>
      </c>
      <c r="G1046" t="str">
        <f>_xlfn.XLOOKUP(C1046,products!A:A,products!B:B)</f>
        <v>Grapes</v>
      </c>
      <c r="H1046" t="str">
        <f>_xlfn.XLOOKUP(D1046,stores!A:A,stores!B:B)</f>
        <v>Bitola</v>
      </c>
      <c r="I1046" t="str">
        <f t="shared" si="32"/>
        <v>NORMAL</v>
      </c>
      <c r="J1046" s="4" t="str">
        <f t="shared" si="33"/>
        <v>9</v>
      </c>
    </row>
    <row r="1047" spans="1:10">
      <c r="A1047" s="2">
        <v>1046</v>
      </c>
      <c r="B1047" s="3">
        <v>46278</v>
      </c>
      <c r="C1047" s="2">
        <v>5</v>
      </c>
      <c r="D1047" s="2">
        <v>2</v>
      </c>
      <c r="E1047" s="2">
        <v>24.1</v>
      </c>
      <c r="F1047" s="2">
        <v>2651</v>
      </c>
      <c r="G1047" t="str">
        <f>_xlfn.XLOOKUP(C1047,products!A:A,products!B:B)</f>
        <v>Grapes</v>
      </c>
      <c r="H1047" t="str">
        <f>_xlfn.XLOOKUP(D1047,stores!A:A,stores!B:B)</f>
        <v>Ohrid</v>
      </c>
      <c r="I1047" t="str">
        <f t="shared" si="32"/>
        <v>NORMAL</v>
      </c>
      <c r="J1047" s="4" t="str">
        <f t="shared" si="33"/>
        <v>9</v>
      </c>
    </row>
    <row r="1048" spans="1:10">
      <c r="A1048" s="2">
        <v>1047</v>
      </c>
      <c r="B1048" s="3">
        <v>46278</v>
      </c>
      <c r="C1048" s="2">
        <v>6</v>
      </c>
      <c r="D1048" s="2">
        <v>1</v>
      </c>
      <c r="E1048" s="2">
        <v>3</v>
      </c>
      <c r="F1048" s="2">
        <v>660</v>
      </c>
      <c r="G1048" t="str">
        <f>_xlfn.XLOOKUP(C1048,products!A:A,products!B:B)</f>
        <v>Strawberry</v>
      </c>
      <c r="H1048" t="str">
        <f>_xlfn.XLOOKUP(D1048,stores!A:A,stores!B:B)</f>
        <v>Bitola</v>
      </c>
      <c r="I1048" t="str">
        <f t="shared" si="32"/>
        <v>NORMAL</v>
      </c>
      <c r="J1048" s="4" t="str">
        <f t="shared" si="33"/>
        <v>9</v>
      </c>
    </row>
    <row r="1049" spans="1:10">
      <c r="A1049" s="2">
        <v>1048</v>
      </c>
      <c r="B1049" s="3">
        <v>46278</v>
      </c>
      <c r="C1049" s="2">
        <v>6</v>
      </c>
      <c r="D1049" s="2">
        <v>2</v>
      </c>
      <c r="E1049" s="2">
        <v>2.6</v>
      </c>
      <c r="F1049" s="2">
        <v>572</v>
      </c>
      <c r="G1049" t="str">
        <f>_xlfn.XLOOKUP(C1049,products!A:A,products!B:B)</f>
        <v>Strawberry</v>
      </c>
      <c r="H1049" t="str">
        <f>_xlfn.XLOOKUP(D1049,stores!A:A,stores!B:B)</f>
        <v>Ohrid</v>
      </c>
      <c r="I1049" t="str">
        <f t="shared" si="32"/>
        <v>NORMAL</v>
      </c>
      <c r="J1049" s="4" t="str">
        <f t="shared" si="33"/>
        <v>9</v>
      </c>
    </row>
    <row r="1050" spans="1:10">
      <c r="A1050" s="2">
        <v>1049</v>
      </c>
      <c r="B1050" s="3">
        <v>46278</v>
      </c>
      <c r="C1050" s="2">
        <v>7</v>
      </c>
      <c r="D1050" s="2">
        <v>1</v>
      </c>
      <c r="E1050" s="2">
        <v>13.2</v>
      </c>
      <c r="F1050" s="2">
        <v>1254</v>
      </c>
      <c r="G1050" t="str">
        <f>_xlfn.XLOOKUP(C1050,products!A:A,products!B:B)</f>
        <v>Peach</v>
      </c>
      <c r="H1050" t="str">
        <f>_xlfn.XLOOKUP(D1050,stores!A:A,stores!B:B)</f>
        <v>Bitola</v>
      </c>
      <c r="I1050" t="str">
        <f t="shared" si="32"/>
        <v>NORMAL</v>
      </c>
      <c r="J1050" s="4" t="str">
        <f t="shared" si="33"/>
        <v>9</v>
      </c>
    </row>
    <row r="1051" spans="1:10">
      <c r="A1051" s="2">
        <v>1050</v>
      </c>
      <c r="B1051" s="3">
        <v>46278</v>
      </c>
      <c r="C1051" s="2">
        <v>7</v>
      </c>
      <c r="D1051" s="2">
        <v>2</v>
      </c>
      <c r="E1051" s="2">
        <v>11</v>
      </c>
      <c r="F1051" s="2">
        <v>1045</v>
      </c>
      <c r="G1051" t="str">
        <f>_xlfn.XLOOKUP(C1051,products!A:A,products!B:B)</f>
        <v>Peach</v>
      </c>
      <c r="H1051" t="str">
        <f>_xlfn.XLOOKUP(D1051,stores!A:A,stores!B:B)</f>
        <v>Ohrid</v>
      </c>
      <c r="I1051" t="str">
        <f t="shared" si="32"/>
        <v>NORMAL</v>
      </c>
      <c r="J1051" s="4" t="str">
        <f t="shared" si="33"/>
        <v>9</v>
      </c>
    </row>
    <row r="1052" spans="1:10">
      <c r="A1052" s="2">
        <v>1051</v>
      </c>
      <c r="B1052" s="3">
        <v>46279</v>
      </c>
      <c r="C1052" s="2">
        <v>1</v>
      </c>
      <c r="D1052" s="2">
        <v>1</v>
      </c>
      <c r="E1052" s="2">
        <v>34.7</v>
      </c>
      <c r="F1052" s="2">
        <v>2082</v>
      </c>
      <c r="G1052" t="str">
        <f>_xlfn.XLOOKUP(C1052,products!A:A,products!B:B)</f>
        <v>Apple</v>
      </c>
      <c r="H1052" t="str">
        <f>_xlfn.XLOOKUP(D1052,stores!A:A,stores!B:B)</f>
        <v>Bitola</v>
      </c>
      <c r="I1052" t="str">
        <f t="shared" si="32"/>
        <v>NORMAL</v>
      </c>
      <c r="J1052" s="4" t="str">
        <f t="shared" si="33"/>
        <v>9</v>
      </c>
    </row>
    <row r="1053" spans="1:10">
      <c r="A1053" s="2">
        <v>1052</v>
      </c>
      <c r="B1053" s="3">
        <v>46279</v>
      </c>
      <c r="C1053" s="2">
        <v>1</v>
      </c>
      <c r="D1053" s="2">
        <v>2</v>
      </c>
      <c r="E1053" s="2">
        <v>17.5</v>
      </c>
      <c r="F1053" s="2">
        <v>1050</v>
      </c>
      <c r="G1053" t="str">
        <f>_xlfn.XLOOKUP(C1053,products!A:A,products!B:B)</f>
        <v>Apple</v>
      </c>
      <c r="H1053" t="str">
        <f>_xlfn.XLOOKUP(D1053,stores!A:A,stores!B:B)</f>
        <v>Ohrid</v>
      </c>
      <c r="I1053" t="str">
        <f t="shared" si="32"/>
        <v>NORMAL</v>
      </c>
      <c r="J1053" s="4" t="str">
        <f t="shared" si="33"/>
        <v>9</v>
      </c>
    </row>
    <row r="1054" spans="1:10">
      <c r="A1054" s="2">
        <v>1053</v>
      </c>
      <c r="B1054" s="3">
        <v>46279</v>
      </c>
      <c r="C1054" s="2">
        <v>2</v>
      </c>
      <c r="D1054" s="2">
        <v>1</v>
      </c>
      <c r="E1054" s="2">
        <v>20.3</v>
      </c>
      <c r="F1054" s="2">
        <v>1827</v>
      </c>
      <c r="G1054" t="str">
        <f>_xlfn.XLOOKUP(C1054,products!A:A,products!B:B)</f>
        <v>Banana</v>
      </c>
      <c r="H1054" t="str">
        <f>_xlfn.XLOOKUP(D1054,stores!A:A,stores!B:B)</f>
        <v>Bitola</v>
      </c>
      <c r="I1054" t="str">
        <f t="shared" si="32"/>
        <v>NORMAL</v>
      </c>
      <c r="J1054" s="4" t="str">
        <f t="shared" si="33"/>
        <v>9</v>
      </c>
    </row>
    <row r="1055" spans="1:10">
      <c r="A1055" s="2">
        <v>1054</v>
      </c>
      <c r="B1055" s="3">
        <v>46279</v>
      </c>
      <c r="C1055" s="2">
        <v>2</v>
      </c>
      <c r="D1055" s="2">
        <v>2</v>
      </c>
      <c r="E1055" s="2">
        <v>22.7</v>
      </c>
      <c r="F1055" s="2">
        <v>2043</v>
      </c>
      <c r="G1055" t="str">
        <f>_xlfn.XLOOKUP(C1055,products!A:A,products!B:B)</f>
        <v>Banana</v>
      </c>
      <c r="H1055" t="str">
        <f>_xlfn.XLOOKUP(D1055,stores!A:A,stores!B:B)</f>
        <v>Ohrid</v>
      </c>
      <c r="I1055" t="str">
        <f t="shared" si="32"/>
        <v>NORMAL</v>
      </c>
      <c r="J1055" s="4" t="str">
        <f t="shared" si="33"/>
        <v>9</v>
      </c>
    </row>
    <row r="1056" spans="1:10">
      <c r="A1056" s="2">
        <v>1055</v>
      </c>
      <c r="B1056" s="3">
        <v>46279</v>
      </c>
      <c r="C1056" s="2">
        <v>3</v>
      </c>
      <c r="D1056" s="2">
        <v>1</v>
      </c>
      <c r="E1056" s="2">
        <v>15</v>
      </c>
      <c r="F1056" s="2">
        <v>1200</v>
      </c>
      <c r="G1056" t="str">
        <f>_xlfn.XLOOKUP(C1056,products!A:A,products!B:B)</f>
        <v>Orange</v>
      </c>
      <c r="H1056" t="str">
        <f>_xlfn.XLOOKUP(D1056,stores!A:A,stores!B:B)</f>
        <v>Bitola</v>
      </c>
      <c r="I1056" t="str">
        <f t="shared" si="32"/>
        <v>NORMAL</v>
      </c>
      <c r="J1056" s="4" t="str">
        <f t="shared" si="33"/>
        <v>9</v>
      </c>
    </row>
    <row r="1057" spans="1:10">
      <c r="A1057" s="2">
        <v>1056</v>
      </c>
      <c r="B1057" s="3">
        <v>46279</v>
      </c>
      <c r="C1057" s="2">
        <v>3</v>
      </c>
      <c r="D1057" s="2">
        <v>2</v>
      </c>
      <c r="E1057" s="2">
        <v>12.4</v>
      </c>
      <c r="F1057" s="2">
        <v>992</v>
      </c>
      <c r="G1057" t="str">
        <f>_xlfn.XLOOKUP(C1057,products!A:A,products!B:B)</f>
        <v>Orange</v>
      </c>
      <c r="H1057" t="str">
        <f>_xlfn.XLOOKUP(D1057,stores!A:A,stores!B:B)</f>
        <v>Ohrid</v>
      </c>
      <c r="I1057" t="str">
        <f t="shared" si="32"/>
        <v>NORMAL</v>
      </c>
      <c r="J1057" s="4" t="str">
        <f t="shared" si="33"/>
        <v>9</v>
      </c>
    </row>
    <row r="1058" spans="1:10">
      <c r="A1058" s="2">
        <v>1057</v>
      </c>
      <c r="B1058" s="3">
        <v>46279</v>
      </c>
      <c r="C1058" s="2">
        <v>4</v>
      </c>
      <c r="D1058" s="2">
        <v>1</v>
      </c>
      <c r="E1058" s="2">
        <v>24</v>
      </c>
      <c r="F1058" s="2">
        <v>600</v>
      </c>
      <c r="G1058" t="str">
        <f>_xlfn.XLOOKUP(C1058,products!A:A,products!B:B)</f>
        <v>Watermelon</v>
      </c>
      <c r="H1058" t="str">
        <f>_xlfn.XLOOKUP(D1058,stores!A:A,stores!B:B)</f>
        <v>Bitola</v>
      </c>
      <c r="I1058" t="str">
        <f t="shared" si="32"/>
        <v>NORMAL</v>
      </c>
      <c r="J1058" s="4" t="str">
        <f t="shared" si="33"/>
        <v>9</v>
      </c>
    </row>
    <row r="1059" spans="1:10">
      <c r="A1059" s="2">
        <v>1058</v>
      </c>
      <c r="B1059" s="3">
        <v>46279</v>
      </c>
      <c r="C1059" s="2">
        <v>4</v>
      </c>
      <c r="D1059" s="2">
        <v>2</v>
      </c>
      <c r="E1059" s="2">
        <v>27.7</v>
      </c>
      <c r="F1059" s="2">
        <v>692</v>
      </c>
      <c r="G1059" t="str">
        <f>_xlfn.XLOOKUP(C1059,products!A:A,products!B:B)</f>
        <v>Watermelon</v>
      </c>
      <c r="H1059" t="str">
        <f>_xlfn.XLOOKUP(D1059,stores!A:A,stores!B:B)</f>
        <v>Ohrid</v>
      </c>
      <c r="I1059" t="str">
        <f t="shared" si="32"/>
        <v>NORMAL</v>
      </c>
      <c r="J1059" s="4" t="str">
        <f t="shared" si="33"/>
        <v>9</v>
      </c>
    </row>
    <row r="1060" spans="1:10">
      <c r="A1060" s="2">
        <v>1059</v>
      </c>
      <c r="B1060" s="3">
        <v>46279</v>
      </c>
      <c r="C1060" s="2">
        <v>5</v>
      </c>
      <c r="D1060" s="2">
        <v>1</v>
      </c>
      <c r="E1060" s="2">
        <v>25.5</v>
      </c>
      <c r="F1060" s="2">
        <v>2805</v>
      </c>
      <c r="G1060" t="str">
        <f>_xlfn.XLOOKUP(C1060,products!A:A,products!B:B)</f>
        <v>Grapes</v>
      </c>
      <c r="H1060" t="str">
        <f>_xlfn.XLOOKUP(D1060,stores!A:A,stores!B:B)</f>
        <v>Bitola</v>
      </c>
      <c r="I1060" t="str">
        <f t="shared" si="32"/>
        <v>NORMAL</v>
      </c>
      <c r="J1060" s="4" t="str">
        <f t="shared" si="33"/>
        <v>9</v>
      </c>
    </row>
    <row r="1061" spans="1:10">
      <c r="A1061" s="2">
        <v>1060</v>
      </c>
      <c r="B1061" s="3">
        <v>46279</v>
      </c>
      <c r="C1061" s="2">
        <v>5</v>
      </c>
      <c r="D1061" s="2">
        <v>2</v>
      </c>
      <c r="E1061" s="2">
        <v>19.8</v>
      </c>
      <c r="F1061" s="2">
        <v>2178</v>
      </c>
      <c r="G1061" t="str">
        <f>_xlfn.XLOOKUP(C1061,products!A:A,products!B:B)</f>
        <v>Grapes</v>
      </c>
      <c r="H1061" t="str">
        <f>_xlfn.XLOOKUP(D1061,stores!A:A,stores!B:B)</f>
        <v>Ohrid</v>
      </c>
      <c r="I1061" t="str">
        <f t="shared" si="32"/>
        <v>NORMAL</v>
      </c>
      <c r="J1061" s="4" t="str">
        <f t="shared" si="33"/>
        <v>9</v>
      </c>
    </row>
    <row r="1062" spans="1:10">
      <c r="A1062" s="2">
        <v>1061</v>
      </c>
      <c r="B1062" s="3">
        <v>46279</v>
      </c>
      <c r="C1062" s="2">
        <v>6</v>
      </c>
      <c r="D1062" s="2">
        <v>1</v>
      </c>
      <c r="E1062" s="2">
        <v>2.1</v>
      </c>
      <c r="F1062" s="2">
        <v>462</v>
      </c>
      <c r="G1062" t="str">
        <f>_xlfn.XLOOKUP(C1062,products!A:A,products!B:B)</f>
        <v>Strawberry</v>
      </c>
      <c r="H1062" t="str">
        <f>_xlfn.XLOOKUP(D1062,stores!A:A,stores!B:B)</f>
        <v>Bitola</v>
      </c>
      <c r="I1062" t="str">
        <f t="shared" si="32"/>
        <v>NORMAL</v>
      </c>
      <c r="J1062" s="4" t="str">
        <f t="shared" si="33"/>
        <v>9</v>
      </c>
    </row>
    <row r="1063" spans="1:10">
      <c r="A1063" s="2">
        <v>1062</v>
      </c>
      <c r="B1063" s="3">
        <v>46279</v>
      </c>
      <c r="C1063" s="2">
        <v>6</v>
      </c>
      <c r="D1063" s="2">
        <v>2</v>
      </c>
      <c r="E1063" s="2">
        <v>1.7</v>
      </c>
      <c r="F1063" s="2">
        <v>374</v>
      </c>
      <c r="G1063" t="str">
        <f>_xlfn.XLOOKUP(C1063,products!A:A,products!B:B)</f>
        <v>Strawberry</v>
      </c>
      <c r="H1063" t="str">
        <f>_xlfn.XLOOKUP(D1063,stores!A:A,stores!B:B)</f>
        <v>Ohrid</v>
      </c>
      <c r="I1063" t="str">
        <f t="shared" si="32"/>
        <v>NORMAL</v>
      </c>
      <c r="J1063" s="4" t="str">
        <f t="shared" si="33"/>
        <v>9</v>
      </c>
    </row>
    <row r="1064" spans="1:10">
      <c r="A1064" s="2">
        <v>1063</v>
      </c>
      <c r="B1064" s="3">
        <v>46279</v>
      </c>
      <c r="C1064" s="2">
        <v>7</v>
      </c>
      <c r="D1064" s="2">
        <v>1</v>
      </c>
      <c r="E1064" s="2">
        <v>12.4</v>
      </c>
      <c r="F1064" s="2">
        <v>1178</v>
      </c>
      <c r="G1064" t="str">
        <f>_xlfn.XLOOKUP(C1064,products!A:A,products!B:B)</f>
        <v>Peach</v>
      </c>
      <c r="H1064" t="str">
        <f>_xlfn.XLOOKUP(D1064,stores!A:A,stores!B:B)</f>
        <v>Bitola</v>
      </c>
      <c r="I1064" t="str">
        <f t="shared" si="32"/>
        <v>NORMAL</v>
      </c>
      <c r="J1064" s="4" t="str">
        <f t="shared" si="33"/>
        <v>9</v>
      </c>
    </row>
    <row r="1065" spans="1:10">
      <c r="A1065" s="2">
        <v>1064</v>
      </c>
      <c r="B1065" s="3">
        <v>46279</v>
      </c>
      <c r="C1065" s="2">
        <v>7</v>
      </c>
      <c r="D1065" s="2">
        <v>2</v>
      </c>
      <c r="E1065" s="2">
        <v>10.2</v>
      </c>
      <c r="F1065" s="2">
        <v>969</v>
      </c>
      <c r="G1065" t="str">
        <f>_xlfn.XLOOKUP(C1065,products!A:A,products!B:B)</f>
        <v>Peach</v>
      </c>
      <c r="H1065" t="str">
        <f>_xlfn.XLOOKUP(D1065,stores!A:A,stores!B:B)</f>
        <v>Ohrid</v>
      </c>
      <c r="I1065" t="str">
        <f t="shared" si="32"/>
        <v>NORMAL</v>
      </c>
      <c r="J1065" s="4" t="str">
        <f t="shared" si="33"/>
        <v>9</v>
      </c>
    </row>
    <row r="1066" spans="1:10">
      <c r="A1066" s="2">
        <v>1065</v>
      </c>
      <c r="B1066" s="3">
        <v>46280</v>
      </c>
      <c r="C1066" s="2">
        <v>1</v>
      </c>
      <c r="D1066" s="2">
        <v>1</v>
      </c>
      <c r="E1066" s="2">
        <v>36.7</v>
      </c>
      <c r="F1066" s="2">
        <v>2202</v>
      </c>
      <c r="G1066" t="str">
        <f>_xlfn.XLOOKUP(C1066,products!A:A,products!B:B)</f>
        <v>Apple</v>
      </c>
      <c r="H1066" t="str">
        <f>_xlfn.XLOOKUP(D1066,stores!A:A,stores!B:B)</f>
        <v>Bitola</v>
      </c>
      <c r="I1066" t="str">
        <f t="shared" si="32"/>
        <v>NORMAL</v>
      </c>
      <c r="J1066" s="4" t="str">
        <f t="shared" si="33"/>
        <v>9</v>
      </c>
    </row>
    <row r="1067" spans="1:10">
      <c r="A1067" s="2">
        <v>1066</v>
      </c>
      <c r="B1067" s="3">
        <v>46280</v>
      </c>
      <c r="C1067" s="2">
        <v>1</v>
      </c>
      <c r="D1067" s="2">
        <v>2</v>
      </c>
      <c r="E1067" s="2">
        <v>30.7</v>
      </c>
      <c r="F1067" s="2">
        <v>1842</v>
      </c>
      <c r="G1067" t="str">
        <f>_xlfn.XLOOKUP(C1067,products!A:A,products!B:B)</f>
        <v>Apple</v>
      </c>
      <c r="H1067" t="str">
        <f>_xlfn.XLOOKUP(D1067,stores!A:A,stores!B:B)</f>
        <v>Ohrid</v>
      </c>
      <c r="I1067" t="str">
        <f t="shared" si="32"/>
        <v>NORMAL</v>
      </c>
      <c r="J1067" s="4" t="str">
        <f t="shared" si="33"/>
        <v>9</v>
      </c>
    </row>
    <row r="1068" spans="1:10">
      <c r="A1068" s="2">
        <v>1067</v>
      </c>
      <c r="B1068" s="3">
        <v>46280</v>
      </c>
      <c r="C1068" s="2">
        <v>2</v>
      </c>
      <c r="D1068" s="2">
        <v>1</v>
      </c>
      <c r="E1068" s="2">
        <v>21.6</v>
      </c>
      <c r="F1068" s="2">
        <v>1944</v>
      </c>
      <c r="G1068" t="str">
        <f>_xlfn.XLOOKUP(C1068,products!A:A,products!B:B)</f>
        <v>Banana</v>
      </c>
      <c r="H1068" t="str">
        <f>_xlfn.XLOOKUP(D1068,stores!A:A,stores!B:B)</f>
        <v>Bitola</v>
      </c>
      <c r="I1068" t="str">
        <f t="shared" si="32"/>
        <v>NORMAL</v>
      </c>
      <c r="J1068" s="4" t="str">
        <f t="shared" si="33"/>
        <v>9</v>
      </c>
    </row>
    <row r="1069" spans="1:10">
      <c r="A1069" s="2">
        <v>1068</v>
      </c>
      <c r="B1069" s="3">
        <v>46280</v>
      </c>
      <c r="C1069" s="2">
        <v>2</v>
      </c>
      <c r="D1069" s="2">
        <v>2</v>
      </c>
      <c r="E1069" s="2">
        <v>19</v>
      </c>
      <c r="F1069" s="2">
        <v>1710</v>
      </c>
      <c r="G1069" t="str">
        <f>_xlfn.XLOOKUP(C1069,products!A:A,products!B:B)</f>
        <v>Banana</v>
      </c>
      <c r="H1069" t="str">
        <f>_xlfn.XLOOKUP(D1069,stores!A:A,stores!B:B)</f>
        <v>Ohrid</v>
      </c>
      <c r="I1069" t="str">
        <f t="shared" si="32"/>
        <v>NORMAL</v>
      </c>
      <c r="J1069" s="4" t="str">
        <f t="shared" si="33"/>
        <v>9</v>
      </c>
    </row>
    <row r="1070" spans="1:10">
      <c r="A1070" s="2">
        <v>1069</v>
      </c>
      <c r="B1070" s="3">
        <v>46280</v>
      </c>
      <c r="C1070" s="2">
        <v>3</v>
      </c>
      <c r="D1070" s="2">
        <v>1</v>
      </c>
      <c r="E1070" s="2">
        <v>9.9</v>
      </c>
      <c r="F1070" s="2">
        <v>792</v>
      </c>
      <c r="G1070" t="str">
        <f>_xlfn.XLOOKUP(C1070,products!A:A,products!B:B)</f>
        <v>Orange</v>
      </c>
      <c r="H1070" t="str">
        <f>_xlfn.XLOOKUP(D1070,stores!A:A,stores!B:B)</f>
        <v>Bitola</v>
      </c>
      <c r="I1070" t="str">
        <f t="shared" si="32"/>
        <v>NORMAL</v>
      </c>
      <c r="J1070" s="4" t="str">
        <f t="shared" si="33"/>
        <v>9</v>
      </c>
    </row>
    <row r="1071" spans="1:10">
      <c r="A1071" s="2">
        <v>1070</v>
      </c>
      <c r="B1071" s="3">
        <v>46280</v>
      </c>
      <c r="C1071" s="2">
        <v>3</v>
      </c>
      <c r="D1071" s="2">
        <v>2</v>
      </c>
      <c r="E1071" s="2">
        <v>19.9</v>
      </c>
      <c r="F1071" s="2">
        <v>1592</v>
      </c>
      <c r="G1071" t="str">
        <f>_xlfn.XLOOKUP(C1071,products!A:A,products!B:B)</f>
        <v>Orange</v>
      </c>
      <c r="H1071" t="str">
        <f>_xlfn.XLOOKUP(D1071,stores!A:A,stores!B:B)</f>
        <v>Ohrid</v>
      </c>
      <c r="I1071" t="str">
        <f t="shared" si="32"/>
        <v>NORMAL</v>
      </c>
      <c r="J1071" s="4" t="str">
        <f t="shared" si="33"/>
        <v>9</v>
      </c>
    </row>
    <row r="1072" spans="1:10">
      <c r="A1072" s="2">
        <v>1071</v>
      </c>
      <c r="B1072" s="3">
        <v>46280</v>
      </c>
      <c r="C1072" s="2">
        <v>4</v>
      </c>
      <c r="D1072" s="2">
        <v>1</v>
      </c>
      <c r="E1072" s="2">
        <v>23.5</v>
      </c>
      <c r="F1072" s="2">
        <v>588</v>
      </c>
      <c r="G1072" t="str">
        <f>_xlfn.XLOOKUP(C1072,products!A:A,products!B:B)</f>
        <v>Watermelon</v>
      </c>
      <c r="H1072" t="str">
        <f>_xlfn.XLOOKUP(D1072,stores!A:A,stores!B:B)</f>
        <v>Bitola</v>
      </c>
      <c r="I1072" t="str">
        <f t="shared" si="32"/>
        <v>NORMAL</v>
      </c>
      <c r="J1072" s="4" t="str">
        <f t="shared" si="33"/>
        <v>9</v>
      </c>
    </row>
    <row r="1073" spans="1:10">
      <c r="A1073" s="2">
        <v>1072</v>
      </c>
      <c r="B1073" s="3">
        <v>46280</v>
      </c>
      <c r="C1073" s="2">
        <v>4</v>
      </c>
      <c r="D1073" s="2">
        <v>2</v>
      </c>
      <c r="E1073" s="2">
        <v>25.9</v>
      </c>
      <c r="F1073" s="2">
        <v>648</v>
      </c>
      <c r="G1073" t="str">
        <f>_xlfn.XLOOKUP(C1073,products!A:A,products!B:B)</f>
        <v>Watermelon</v>
      </c>
      <c r="H1073" t="str">
        <f>_xlfn.XLOOKUP(D1073,stores!A:A,stores!B:B)</f>
        <v>Ohrid</v>
      </c>
      <c r="I1073" t="str">
        <f t="shared" si="32"/>
        <v>NORMAL</v>
      </c>
      <c r="J1073" s="4" t="str">
        <f t="shared" si="33"/>
        <v>9</v>
      </c>
    </row>
    <row r="1074" spans="1:10">
      <c r="A1074" s="2">
        <v>1073</v>
      </c>
      <c r="B1074" s="3">
        <v>46280</v>
      </c>
      <c r="C1074" s="2">
        <v>5</v>
      </c>
      <c r="D1074" s="2">
        <v>1</v>
      </c>
      <c r="E1074" s="2">
        <v>26</v>
      </c>
      <c r="F1074" s="2">
        <v>2860</v>
      </c>
      <c r="G1074" t="str">
        <f>_xlfn.XLOOKUP(C1074,products!A:A,products!B:B)</f>
        <v>Grapes</v>
      </c>
      <c r="H1074" t="str">
        <f>_xlfn.XLOOKUP(D1074,stores!A:A,stores!B:B)</f>
        <v>Bitola</v>
      </c>
      <c r="I1074" t="str">
        <f t="shared" si="32"/>
        <v>NORMAL</v>
      </c>
      <c r="J1074" s="4" t="str">
        <f t="shared" si="33"/>
        <v>9</v>
      </c>
    </row>
    <row r="1075" spans="1:10">
      <c r="A1075" s="2">
        <v>1074</v>
      </c>
      <c r="B1075" s="3">
        <v>46280</v>
      </c>
      <c r="C1075" s="2">
        <v>5</v>
      </c>
      <c r="D1075" s="2">
        <v>2</v>
      </c>
      <c r="E1075" s="2">
        <v>23.8</v>
      </c>
      <c r="F1075" s="2">
        <v>2618</v>
      </c>
      <c r="G1075" t="str">
        <f>_xlfn.XLOOKUP(C1075,products!A:A,products!B:B)</f>
        <v>Grapes</v>
      </c>
      <c r="H1075" t="str">
        <f>_xlfn.XLOOKUP(D1075,stores!A:A,stores!B:B)</f>
        <v>Ohrid</v>
      </c>
      <c r="I1075" t="str">
        <f t="shared" si="32"/>
        <v>NORMAL</v>
      </c>
      <c r="J1075" s="4" t="str">
        <f t="shared" si="33"/>
        <v>9</v>
      </c>
    </row>
    <row r="1076" spans="1:10">
      <c r="A1076" s="2">
        <v>1075</v>
      </c>
      <c r="B1076" s="3">
        <v>46280</v>
      </c>
      <c r="C1076" s="2">
        <v>6</v>
      </c>
      <c r="D1076" s="2">
        <v>1</v>
      </c>
      <c r="E1076" s="2">
        <v>1.8</v>
      </c>
      <c r="F1076" s="2">
        <v>396</v>
      </c>
      <c r="G1076" t="str">
        <f>_xlfn.XLOOKUP(C1076,products!A:A,products!B:B)</f>
        <v>Strawberry</v>
      </c>
      <c r="H1076" t="str">
        <f>_xlfn.XLOOKUP(D1076,stores!A:A,stores!B:B)</f>
        <v>Bitola</v>
      </c>
      <c r="I1076" t="str">
        <f t="shared" si="32"/>
        <v>NORMAL</v>
      </c>
      <c r="J1076" s="4" t="str">
        <f t="shared" si="33"/>
        <v>9</v>
      </c>
    </row>
    <row r="1077" spans="1:10">
      <c r="A1077" s="2">
        <v>1076</v>
      </c>
      <c r="B1077" s="3">
        <v>46280</v>
      </c>
      <c r="C1077" s="2">
        <v>6</v>
      </c>
      <c r="D1077" s="2">
        <v>2</v>
      </c>
      <c r="E1077" s="2">
        <v>1.1</v>
      </c>
      <c r="F1077" s="2">
        <v>242</v>
      </c>
      <c r="G1077" t="str">
        <f>_xlfn.XLOOKUP(C1077,products!A:A,products!B:B)</f>
        <v>Strawberry</v>
      </c>
      <c r="H1077" t="str">
        <f>_xlfn.XLOOKUP(D1077,stores!A:A,stores!B:B)</f>
        <v>Ohrid</v>
      </c>
      <c r="I1077" t="str">
        <f t="shared" si="32"/>
        <v>NORMAL</v>
      </c>
      <c r="J1077" s="4" t="str">
        <f t="shared" si="33"/>
        <v>9</v>
      </c>
    </row>
    <row r="1078" spans="1:10">
      <c r="A1078" s="2">
        <v>1077</v>
      </c>
      <c r="B1078" s="3">
        <v>46280</v>
      </c>
      <c r="C1078" s="2">
        <v>7</v>
      </c>
      <c r="D1078" s="2">
        <v>1</v>
      </c>
      <c r="E1078" s="2">
        <v>8</v>
      </c>
      <c r="F1078" s="2">
        <v>760</v>
      </c>
      <c r="G1078" t="str">
        <f>_xlfn.XLOOKUP(C1078,products!A:A,products!B:B)</f>
        <v>Peach</v>
      </c>
      <c r="H1078" t="str">
        <f>_xlfn.XLOOKUP(D1078,stores!A:A,stores!B:B)</f>
        <v>Bitola</v>
      </c>
      <c r="I1078" t="str">
        <f t="shared" si="32"/>
        <v>NORMAL</v>
      </c>
      <c r="J1078" s="4" t="str">
        <f t="shared" si="33"/>
        <v>9</v>
      </c>
    </row>
    <row r="1079" spans="1:10">
      <c r="A1079" s="2">
        <v>1078</v>
      </c>
      <c r="B1079" s="3">
        <v>46280</v>
      </c>
      <c r="C1079" s="2">
        <v>7</v>
      </c>
      <c r="D1079" s="2">
        <v>2</v>
      </c>
      <c r="E1079" s="2">
        <v>6.5</v>
      </c>
      <c r="F1079" s="2">
        <v>618</v>
      </c>
      <c r="G1079" t="str">
        <f>_xlfn.XLOOKUP(C1079,products!A:A,products!B:B)</f>
        <v>Peach</v>
      </c>
      <c r="H1079" t="str">
        <f>_xlfn.XLOOKUP(D1079,stores!A:A,stores!B:B)</f>
        <v>Ohrid</v>
      </c>
      <c r="I1079" t="str">
        <f t="shared" si="32"/>
        <v>NORMAL</v>
      </c>
      <c r="J1079" s="4" t="str">
        <f t="shared" si="33"/>
        <v>9</v>
      </c>
    </row>
    <row r="1080" spans="1:10">
      <c r="A1080" s="2">
        <v>1079</v>
      </c>
      <c r="B1080" s="3">
        <v>46281</v>
      </c>
      <c r="C1080" s="2">
        <v>1</v>
      </c>
      <c r="D1080" s="2">
        <v>1</v>
      </c>
      <c r="E1080" s="2">
        <v>31.2</v>
      </c>
      <c r="F1080" s="2">
        <v>1872</v>
      </c>
      <c r="G1080" t="str">
        <f>_xlfn.XLOOKUP(C1080,products!A:A,products!B:B)</f>
        <v>Apple</v>
      </c>
      <c r="H1080" t="str">
        <f>_xlfn.XLOOKUP(D1080,stores!A:A,stores!B:B)</f>
        <v>Bitola</v>
      </c>
      <c r="I1080" t="str">
        <f t="shared" si="32"/>
        <v>NORMAL</v>
      </c>
      <c r="J1080" s="4" t="str">
        <f t="shared" si="33"/>
        <v>9</v>
      </c>
    </row>
    <row r="1081" spans="1:10">
      <c r="A1081" s="2">
        <v>1080</v>
      </c>
      <c r="B1081" s="3">
        <v>46281</v>
      </c>
      <c r="C1081" s="2">
        <v>1</v>
      </c>
      <c r="D1081" s="2">
        <v>2</v>
      </c>
      <c r="E1081" s="2">
        <v>24.9</v>
      </c>
      <c r="F1081" s="2">
        <v>1494</v>
      </c>
      <c r="G1081" t="str">
        <f>_xlfn.XLOOKUP(C1081,products!A:A,products!B:B)</f>
        <v>Apple</v>
      </c>
      <c r="H1081" t="str">
        <f>_xlfn.XLOOKUP(D1081,stores!A:A,stores!B:B)</f>
        <v>Ohrid</v>
      </c>
      <c r="I1081" t="str">
        <f t="shared" si="32"/>
        <v>NORMAL</v>
      </c>
      <c r="J1081" s="4" t="str">
        <f t="shared" si="33"/>
        <v>9</v>
      </c>
    </row>
    <row r="1082" spans="1:10">
      <c r="A1082" s="2">
        <v>1081</v>
      </c>
      <c r="B1082" s="3">
        <v>46281</v>
      </c>
      <c r="C1082" s="2">
        <v>2</v>
      </c>
      <c r="D1082" s="2">
        <v>1</v>
      </c>
      <c r="E1082" s="2">
        <v>22.4</v>
      </c>
      <c r="F1082" s="2">
        <v>2016</v>
      </c>
      <c r="G1082" t="str">
        <f>_xlfn.XLOOKUP(C1082,products!A:A,products!B:B)</f>
        <v>Banana</v>
      </c>
      <c r="H1082" t="str">
        <f>_xlfn.XLOOKUP(D1082,stores!A:A,stores!B:B)</f>
        <v>Bitola</v>
      </c>
      <c r="I1082" t="str">
        <f t="shared" si="32"/>
        <v>NORMAL</v>
      </c>
      <c r="J1082" s="4" t="str">
        <f t="shared" si="33"/>
        <v>9</v>
      </c>
    </row>
    <row r="1083" spans="1:10">
      <c r="A1083" s="2">
        <v>1082</v>
      </c>
      <c r="B1083" s="3">
        <v>46281</v>
      </c>
      <c r="C1083" s="2">
        <v>2</v>
      </c>
      <c r="D1083" s="2">
        <v>2</v>
      </c>
      <c r="E1083" s="2">
        <v>24.4</v>
      </c>
      <c r="F1083" s="2">
        <v>2196</v>
      </c>
      <c r="G1083" t="str">
        <f>_xlfn.XLOOKUP(C1083,products!A:A,products!B:B)</f>
        <v>Banana</v>
      </c>
      <c r="H1083" t="str">
        <f>_xlfn.XLOOKUP(D1083,stores!A:A,stores!B:B)</f>
        <v>Ohrid</v>
      </c>
      <c r="I1083" t="str">
        <f t="shared" si="32"/>
        <v>NORMAL</v>
      </c>
      <c r="J1083" s="4" t="str">
        <f t="shared" si="33"/>
        <v>9</v>
      </c>
    </row>
    <row r="1084" spans="1:10">
      <c r="A1084" s="2">
        <v>1083</v>
      </c>
      <c r="B1084" s="3">
        <v>46281</v>
      </c>
      <c r="C1084" s="2">
        <v>3</v>
      </c>
      <c r="D1084" s="2">
        <v>1</v>
      </c>
      <c r="E1084" s="2">
        <v>12.4</v>
      </c>
      <c r="F1084" s="2">
        <v>992</v>
      </c>
      <c r="G1084" t="str">
        <f>_xlfn.XLOOKUP(C1084,products!A:A,products!B:B)</f>
        <v>Orange</v>
      </c>
      <c r="H1084" t="str">
        <f>_xlfn.XLOOKUP(D1084,stores!A:A,stores!B:B)</f>
        <v>Bitola</v>
      </c>
      <c r="I1084" t="str">
        <f t="shared" si="32"/>
        <v>NORMAL</v>
      </c>
      <c r="J1084" s="4" t="str">
        <f t="shared" si="33"/>
        <v>9</v>
      </c>
    </row>
    <row r="1085" spans="1:10">
      <c r="A1085" s="2">
        <v>1084</v>
      </c>
      <c r="B1085" s="3">
        <v>46281</v>
      </c>
      <c r="C1085" s="2">
        <v>3</v>
      </c>
      <c r="D1085" s="2">
        <v>2</v>
      </c>
      <c r="E1085" s="2">
        <v>14.9</v>
      </c>
      <c r="F1085" s="2">
        <v>1192</v>
      </c>
      <c r="G1085" t="str">
        <f>_xlfn.XLOOKUP(C1085,products!A:A,products!B:B)</f>
        <v>Orange</v>
      </c>
      <c r="H1085" t="str">
        <f>_xlfn.XLOOKUP(D1085,stores!A:A,stores!B:B)</f>
        <v>Ohrid</v>
      </c>
      <c r="I1085" t="str">
        <f t="shared" si="32"/>
        <v>NORMAL</v>
      </c>
      <c r="J1085" s="4" t="str">
        <f t="shared" si="33"/>
        <v>9</v>
      </c>
    </row>
    <row r="1086" spans="1:10">
      <c r="A1086" s="2">
        <v>1085</v>
      </c>
      <c r="B1086" s="3">
        <v>46281</v>
      </c>
      <c r="C1086" s="2">
        <v>4</v>
      </c>
      <c r="D1086" s="2">
        <v>1</v>
      </c>
      <c r="E1086" s="2">
        <v>27.7</v>
      </c>
      <c r="F1086" s="2">
        <v>692</v>
      </c>
      <c r="G1086" t="str">
        <f>_xlfn.XLOOKUP(C1086,products!A:A,products!B:B)</f>
        <v>Watermelon</v>
      </c>
      <c r="H1086" t="str">
        <f>_xlfn.XLOOKUP(D1086,stores!A:A,stores!B:B)</f>
        <v>Bitola</v>
      </c>
      <c r="I1086" t="str">
        <f t="shared" si="32"/>
        <v>NORMAL</v>
      </c>
      <c r="J1086" s="4" t="str">
        <f t="shared" si="33"/>
        <v>9</v>
      </c>
    </row>
    <row r="1087" spans="1:10">
      <c r="A1087" s="2">
        <v>1086</v>
      </c>
      <c r="B1087" s="3">
        <v>46281</v>
      </c>
      <c r="C1087" s="2">
        <v>4</v>
      </c>
      <c r="D1087" s="2">
        <v>2</v>
      </c>
      <c r="E1087" s="2">
        <v>28.2</v>
      </c>
      <c r="F1087" s="2">
        <v>705</v>
      </c>
      <c r="G1087" t="str">
        <f>_xlfn.XLOOKUP(C1087,products!A:A,products!B:B)</f>
        <v>Watermelon</v>
      </c>
      <c r="H1087" t="str">
        <f>_xlfn.XLOOKUP(D1087,stores!A:A,stores!B:B)</f>
        <v>Ohrid</v>
      </c>
      <c r="I1087" t="str">
        <f t="shared" si="32"/>
        <v>NORMAL</v>
      </c>
      <c r="J1087" s="4" t="str">
        <f t="shared" si="33"/>
        <v>9</v>
      </c>
    </row>
    <row r="1088" spans="1:10">
      <c r="A1088" s="2">
        <v>1087</v>
      </c>
      <c r="B1088" s="3">
        <v>46281</v>
      </c>
      <c r="C1088" s="2">
        <v>5</v>
      </c>
      <c r="D1088" s="2">
        <v>1</v>
      </c>
      <c r="E1088" s="2">
        <v>20.6</v>
      </c>
      <c r="F1088" s="2">
        <v>2266</v>
      </c>
      <c r="G1088" t="str">
        <f>_xlfn.XLOOKUP(C1088,products!A:A,products!B:B)</f>
        <v>Grapes</v>
      </c>
      <c r="H1088" t="str">
        <f>_xlfn.XLOOKUP(D1088,stores!A:A,stores!B:B)</f>
        <v>Bitola</v>
      </c>
      <c r="I1088" t="str">
        <f t="shared" si="32"/>
        <v>NORMAL</v>
      </c>
      <c r="J1088" s="4" t="str">
        <f t="shared" si="33"/>
        <v>9</v>
      </c>
    </row>
    <row r="1089" spans="1:10">
      <c r="A1089" s="2">
        <v>1088</v>
      </c>
      <c r="B1089" s="3">
        <v>46281</v>
      </c>
      <c r="C1089" s="2">
        <v>5</v>
      </c>
      <c r="D1089" s="2">
        <v>2</v>
      </c>
      <c r="E1089" s="2">
        <v>28.5</v>
      </c>
      <c r="F1089" s="2">
        <v>3135</v>
      </c>
      <c r="G1089" t="str">
        <f>_xlfn.XLOOKUP(C1089,products!A:A,products!B:B)</f>
        <v>Grapes</v>
      </c>
      <c r="H1089" t="str">
        <f>_xlfn.XLOOKUP(D1089,stores!A:A,stores!B:B)</f>
        <v>Ohrid</v>
      </c>
      <c r="I1089" t="str">
        <f t="shared" si="32"/>
        <v>NORMAL</v>
      </c>
      <c r="J1089" s="4" t="str">
        <f t="shared" si="33"/>
        <v>9</v>
      </c>
    </row>
    <row r="1090" spans="1:10">
      <c r="A1090" s="2">
        <v>1089</v>
      </c>
      <c r="B1090" s="3">
        <v>46281</v>
      </c>
      <c r="C1090" s="2">
        <v>6</v>
      </c>
      <c r="D1090" s="2">
        <v>1</v>
      </c>
      <c r="E1090" s="2">
        <v>1.8</v>
      </c>
      <c r="F1090" s="2">
        <v>396</v>
      </c>
      <c r="G1090" t="str">
        <f>_xlfn.XLOOKUP(C1090,products!A:A,products!B:B)</f>
        <v>Strawberry</v>
      </c>
      <c r="H1090" t="str">
        <f>_xlfn.XLOOKUP(D1090,stores!A:A,stores!B:B)</f>
        <v>Bitola</v>
      </c>
      <c r="I1090" t="str">
        <f t="shared" ref="I1090:I1153" si="34">IF(E1090&gt;50,"BIG","NORMAL")</f>
        <v>NORMAL</v>
      </c>
      <c r="J1090" s="4" t="str">
        <f t="shared" ref="J1090:J1153" si="35">TEXT(B1090,"m")</f>
        <v>9</v>
      </c>
    </row>
    <row r="1091" spans="1:10">
      <c r="A1091" s="2">
        <v>1090</v>
      </c>
      <c r="B1091" s="3">
        <v>46281</v>
      </c>
      <c r="C1091" s="2">
        <v>6</v>
      </c>
      <c r="D1091" s="2">
        <v>2</v>
      </c>
      <c r="E1091" s="2">
        <v>1.9</v>
      </c>
      <c r="F1091" s="2">
        <v>418</v>
      </c>
      <c r="G1091" t="str">
        <f>_xlfn.XLOOKUP(C1091,products!A:A,products!B:B)</f>
        <v>Strawberry</v>
      </c>
      <c r="H1091" t="str">
        <f>_xlfn.XLOOKUP(D1091,stores!A:A,stores!B:B)</f>
        <v>Ohrid</v>
      </c>
      <c r="I1091" t="str">
        <f t="shared" si="34"/>
        <v>NORMAL</v>
      </c>
      <c r="J1091" s="4" t="str">
        <f t="shared" si="35"/>
        <v>9</v>
      </c>
    </row>
    <row r="1092" spans="1:10">
      <c r="A1092" s="2">
        <v>1091</v>
      </c>
      <c r="B1092" s="3">
        <v>46281</v>
      </c>
      <c r="C1092" s="2">
        <v>7</v>
      </c>
      <c r="D1092" s="2">
        <v>1</v>
      </c>
      <c r="E1092" s="2">
        <v>10.7</v>
      </c>
      <c r="F1092" s="2">
        <v>1016</v>
      </c>
      <c r="G1092" t="str">
        <f>_xlfn.XLOOKUP(C1092,products!A:A,products!B:B)</f>
        <v>Peach</v>
      </c>
      <c r="H1092" t="str">
        <f>_xlfn.XLOOKUP(D1092,stores!A:A,stores!B:B)</f>
        <v>Bitola</v>
      </c>
      <c r="I1092" t="str">
        <f t="shared" si="34"/>
        <v>NORMAL</v>
      </c>
      <c r="J1092" s="4" t="str">
        <f t="shared" si="35"/>
        <v>9</v>
      </c>
    </row>
    <row r="1093" spans="1:10">
      <c r="A1093" s="2">
        <v>1092</v>
      </c>
      <c r="B1093" s="3">
        <v>46281</v>
      </c>
      <c r="C1093" s="2">
        <v>7</v>
      </c>
      <c r="D1093" s="2">
        <v>2</v>
      </c>
      <c r="E1093" s="2">
        <v>8.7</v>
      </c>
      <c r="F1093" s="2">
        <v>826</v>
      </c>
      <c r="G1093" t="str">
        <f>_xlfn.XLOOKUP(C1093,products!A:A,products!B:B)</f>
        <v>Peach</v>
      </c>
      <c r="H1093" t="str">
        <f>_xlfn.XLOOKUP(D1093,stores!A:A,stores!B:B)</f>
        <v>Ohrid</v>
      </c>
      <c r="I1093" t="str">
        <f t="shared" si="34"/>
        <v>NORMAL</v>
      </c>
      <c r="J1093" s="4" t="str">
        <f t="shared" si="35"/>
        <v>9</v>
      </c>
    </row>
    <row r="1094" spans="1:10">
      <c r="A1094" s="2">
        <v>1093</v>
      </c>
      <c r="B1094" s="3">
        <v>46282</v>
      </c>
      <c r="C1094" s="2">
        <v>1</v>
      </c>
      <c r="D1094" s="2">
        <v>1</v>
      </c>
      <c r="E1094" s="2">
        <v>33.4</v>
      </c>
      <c r="F1094" s="2">
        <v>2004</v>
      </c>
      <c r="G1094" t="str">
        <f>_xlfn.XLOOKUP(C1094,products!A:A,products!B:B)</f>
        <v>Apple</v>
      </c>
      <c r="H1094" t="str">
        <f>_xlfn.XLOOKUP(D1094,stores!A:A,stores!B:B)</f>
        <v>Bitola</v>
      </c>
      <c r="I1094" t="str">
        <f t="shared" si="34"/>
        <v>NORMAL</v>
      </c>
      <c r="J1094" s="4" t="str">
        <f t="shared" si="35"/>
        <v>9</v>
      </c>
    </row>
    <row r="1095" spans="1:10">
      <c r="A1095" s="2">
        <v>1094</v>
      </c>
      <c r="B1095" s="3">
        <v>46282</v>
      </c>
      <c r="C1095" s="2">
        <v>1</v>
      </c>
      <c r="D1095" s="2">
        <v>2</v>
      </c>
      <c r="E1095" s="2">
        <v>26.6</v>
      </c>
      <c r="F1095" s="2">
        <v>1596</v>
      </c>
      <c r="G1095" t="str">
        <f>_xlfn.XLOOKUP(C1095,products!A:A,products!B:B)</f>
        <v>Apple</v>
      </c>
      <c r="H1095" t="str">
        <f>_xlfn.XLOOKUP(D1095,stores!A:A,stores!B:B)</f>
        <v>Ohrid</v>
      </c>
      <c r="I1095" t="str">
        <f t="shared" si="34"/>
        <v>NORMAL</v>
      </c>
      <c r="J1095" s="4" t="str">
        <f t="shared" si="35"/>
        <v>9</v>
      </c>
    </row>
    <row r="1096" spans="1:10">
      <c r="A1096" s="2">
        <v>1095</v>
      </c>
      <c r="B1096" s="3">
        <v>46282</v>
      </c>
      <c r="C1096" s="2">
        <v>2</v>
      </c>
      <c r="D1096" s="2">
        <v>1</v>
      </c>
      <c r="E1096" s="2">
        <v>33</v>
      </c>
      <c r="F1096" s="2">
        <v>2970</v>
      </c>
      <c r="G1096" t="str">
        <f>_xlfn.XLOOKUP(C1096,products!A:A,products!B:B)</f>
        <v>Banana</v>
      </c>
      <c r="H1096" t="str">
        <f>_xlfn.XLOOKUP(D1096,stores!A:A,stores!B:B)</f>
        <v>Bitola</v>
      </c>
      <c r="I1096" t="str">
        <f t="shared" si="34"/>
        <v>NORMAL</v>
      </c>
      <c r="J1096" s="4" t="str">
        <f t="shared" si="35"/>
        <v>9</v>
      </c>
    </row>
    <row r="1097" spans="1:10">
      <c r="A1097" s="2">
        <v>1096</v>
      </c>
      <c r="B1097" s="3">
        <v>46282</v>
      </c>
      <c r="C1097" s="2">
        <v>2</v>
      </c>
      <c r="D1097" s="2">
        <v>2</v>
      </c>
      <c r="E1097" s="2">
        <v>27.8</v>
      </c>
      <c r="F1097" s="2">
        <v>2502</v>
      </c>
      <c r="G1097" t="str">
        <f>_xlfn.XLOOKUP(C1097,products!A:A,products!B:B)</f>
        <v>Banana</v>
      </c>
      <c r="H1097" t="str">
        <f>_xlfn.XLOOKUP(D1097,stores!A:A,stores!B:B)</f>
        <v>Ohrid</v>
      </c>
      <c r="I1097" t="str">
        <f t="shared" si="34"/>
        <v>NORMAL</v>
      </c>
      <c r="J1097" s="4" t="str">
        <f t="shared" si="35"/>
        <v>9</v>
      </c>
    </row>
    <row r="1098" spans="1:10">
      <c r="A1098" s="2">
        <v>1097</v>
      </c>
      <c r="B1098" s="3">
        <v>46282</v>
      </c>
      <c r="C1098" s="2">
        <v>3</v>
      </c>
      <c r="D1098" s="2">
        <v>1</v>
      </c>
      <c r="E1098" s="2">
        <v>15.4</v>
      </c>
      <c r="F1098" s="2">
        <v>1232</v>
      </c>
      <c r="G1098" t="str">
        <f>_xlfn.XLOOKUP(C1098,products!A:A,products!B:B)</f>
        <v>Orange</v>
      </c>
      <c r="H1098" t="str">
        <f>_xlfn.XLOOKUP(D1098,stores!A:A,stores!B:B)</f>
        <v>Bitola</v>
      </c>
      <c r="I1098" t="str">
        <f t="shared" si="34"/>
        <v>NORMAL</v>
      </c>
      <c r="J1098" s="4" t="str">
        <f t="shared" si="35"/>
        <v>9</v>
      </c>
    </row>
    <row r="1099" spans="1:10">
      <c r="A1099" s="2">
        <v>1098</v>
      </c>
      <c r="B1099" s="3">
        <v>46282</v>
      </c>
      <c r="C1099" s="2">
        <v>3</v>
      </c>
      <c r="D1099" s="2">
        <v>2</v>
      </c>
      <c r="E1099" s="2">
        <v>9.6</v>
      </c>
      <c r="F1099" s="2">
        <v>768</v>
      </c>
      <c r="G1099" t="str">
        <f>_xlfn.XLOOKUP(C1099,products!A:A,products!B:B)</f>
        <v>Orange</v>
      </c>
      <c r="H1099" t="str">
        <f>_xlfn.XLOOKUP(D1099,stores!A:A,stores!B:B)</f>
        <v>Ohrid</v>
      </c>
      <c r="I1099" t="str">
        <f t="shared" si="34"/>
        <v>NORMAL</v>
      </c>
      <c r="J1099" s="4" t="str">
        <f t="shared" si="35"/>
        <v>9</v>
      </c>
    </row>
    <row r="1100" spans="1:10">
      <c r="A1100" s="2">
        <v>1099</v>
      </c>
      <c r="B1100" s="3">
        <v>46282</v>
      </c>
      <c r="C1100" s="2">
        <v>4</v>
      </c>
      <c r="D1100" s="2">
        <v>1</v>
      </c>
      <c r="E1100" s="2">
        <v>23.4</v>
      </c>
      <c r="F1100" s="2">
        <v>585</v>
      </c>
      <c r="G1100" t="str">
        <f>_xlfn.XLOOKUP(C1100,products!A:A,products!B:B)</f>
        <v>Watermelon</v>
      </c>
      <c r="H1100" t="str">
        <f>_xlfn.XLOOKUP(D1100,stores!A:A,stores!B:B)</f>
        <v>Bitola</v>
      </c>
      <c r="I1100" t="str">
        <f t="shared" si="34"/>
        <v>NORMAL</v>
      </c>
      <c r="J1100" s="4" t="str">
        <f t="shared" si="35"/>
        <v>9</v>
      </c>
    </row>
    <row r="1101" spans="1:10">
      <c r="A1101" s="2">
        <v>1100</v>
      </c>
      <c r="B1101" s="3">
        <v>46282</v>
      </c>
      <c r="C1101" s="2">
        <v>4</v>
      </c>
      <c r="D1101" s="2">
        <v>2</v>
      </c>
      <c r="E1101" s="2">
        <v>23.4</v>
      </c>
      <c r="F1101" s="2">
        <v>585</v>
      </c>
      <c r="G1101" t="str">
        <f>_xlfn.XLOOKUP(C1101,products!A:A,products!B:B)</f>
        <v>Watermelon</v>
      </c>
      <c r="H1101" t="str">
        <f>_xlfn.XLOOKUP(D1101,stores!A:A,stores!B:B)</f>
        <v>Ohrid</v>
      </c>
      <c r="I1101" t="str">
        <f t="shared" si="34"/>
        <v>NORMAL</v>
      </c>
      <c r="J1101" s="4" t="str">
        <f t="shared" si="35"/>
        <v>9</v>
      </c>
    </row>
    <row r="1102" spans="1:10">
      <c r="A1102" s="2">
        <v>1101</v>
      </c>
      <c r="B1102" s="3">
        <v>46282</v>
      </c>
      <c r="C1102" s="2">
        <v>5</v>
      </c>
      <c r="D1102" s="2">
        <v>1</v>
      </c>
      <c r="E1102" s="2">
        <v>26.6</v>
      </c>
      <c r="F1102" s="2">
        <v>2926</v>
      </c>
      <c r="G1102" t="str">
        <f>_xlfn.XLOOKUP(C1102,products!A:A,products!B:B)</f>
        <v>Grapes</v>
      </c>
      <c r="H1102" t="str">
        <f>_xlfn.XLOOKUP(D1102,stores!A:A,stores!B:B)</f>
        <v>Bitola</v>
      </c>
      <c r="I1102" t="str">
        <f t="shared" si="34"/>
        <v>NORMAL</v>
      </c>
      <c r="J1102" s="4" t="str">
        <f t="shared" si="35"/>
        <v>9</v>
      </c>
    </row>
    <row r="1103" spans="1:10">
      <c r="A1103" s="2">
        <v>1102</v>
      </c>
      <c r="B1103" s="3">
        <v>46282</v>
      </c>
      <c r="C1103" s="2">
        <v>5</v>
      </c>
      <c r="D1103" s="2">
        <v>2</v>
      </c>
      <c r="E1103" s="2">
        <v>27.5</v>
      </c>
      <c r="F1103" s="2">
        <v>3025</v>
      </c>
      <c r="G1103" t="str">
        <f>_xlfn.XLOOKUP(C1103,products!A:A,products!B:B)</f>
        <v>Grapes</v>
      </c>
      <c r="H1103" t="str">
        <f>_xlfn.XLOOKUP(D1103,stores!A:A,stores!B:B)</f>
        <v>Ohrid</v>
      </c>
      <c r="I1103" t="str">
        <f t="shared" si="34"/>
        <v>NORMAL</v>
      </c>
      <c r="J1103" s="4" t="str">
        <f t="shared" si="35"/>
        <v>9</v>
      </c>
    </row>
    <row r="1104" spans="1:10">
      <c r="A1104" s="2">
        <v>1103</v>
      </c>
      <c r="B1104" s="3">
        <v>46282</v>
      </c>
      <c r="C1104" s="2">
        <v>6</v>
      </c>
      <c r="D1104" s="2">
        <v>1</v>
      </c>
      <c r="E1104" s="2">
        <v>1.6</v>
      </c>
      <c r="F1104" s="2">
        <v>352</v>
      </c>
      <c r="G1104" t="str">
        <f>_xlfn.XLOOKUP(C1104,products!A:A,products!B:B)</f>
        <v>Strawberry</v>
      </c>
      <c r="H1104" t="str">
        <f>_xlfn.XLOOKUP(D1104,stores!A:A,stores!B:B)</f>
        <v>Bitola</v>
      </c>
      <c r="I1104" t="str">
        <f t="shared" si="34"/>
        <v>NORMAL</v>
      </c>
      <c r="J1104" s="4" t="str">
        <f t="shared" si="35"/>
        <v>9</v>
      </c>
    </row>
    <row r="1105" spans="1:10">
      <c r="A1105" s="2">
        <v>1104</v>
      </c>
      <c r="B1105" s="3">
        <v>46282</v>
      </c>
      <c r="C1105" s="2">
        <v>6</v>
      </c>
      <c r="D1105" s="2">
        <v>2</v>
      </c>
      <c r="E1105" s="2">
        <v>2.2</v>
      </c>
      <c r="F1105" s="2">
        <v>484</v>
      </c>
      <c r="G1105" t="str">
        <f>_xlfn.XLOOKUP(C1105,products!A:A,products!B:B)</f>
        <v>Strawberry</v>
      </c>
      <c r="H1105" t="str">
        <f>_xlfn.XLOOKUP(D1105,stores!A:A,stores!B:B)</f>
        <v>Ohrid</v>
      </c>
      <c r="I1105" t="str">
        <f t="shared" si="34"/>
        <v>NORMAL</v>
      </c>
      <c r="J1105" s="4" t="str">
        <f t="shared" si="35"/>
        <v>9</v>
      </c>
    </row>
    <row r="1106" spans="1:10">
      <c r="A1106" s="2">
        <v>1105</v>
      </c>
      <c r="B1106" s="3">
        <v>46282</v>
      </c>
      <c r="C1106" s="2">
        <v>7</v>
      </c>
      <c r="D1106" s="2">
        <v>1</v>
      </c>
      <c r="E1106" s="2">
        <v>10</v>
      </c>
      <c r="F1106" s="2">
        <v>950</v>
      </c>
      <c r="G1106" t="str">
        <f>_xlfn.XLOOKUP(C1106,products!A:A,products!B:B)</f>
        <v>Peach</v>
      </c>
      <c r="H1106" t="str">
        <f>_xlfn.XLOOKUP(D1106,stores!A:A,stores!B:B)</f>
        <v>Bitola</v>
      </c>
      <c r="I1106" t="str">
        <f t="shared" si="34"/>
        <v>NORMAL</v>
      </c>
      <c r="J1106" s="4" t="str">
        <f t="shared" si="35"/>
        <v>9</v>
      </c>
    </row>
    <row r="1107" spans="1:10">
      <c r="A1107" s="2">
        <v>1106</v>
      </c>
      <c r="B1107" s="3">
        <v>46282</v>
      </c>
      <c r="C1107" s="2">
        <v>7</v>
      </c>
      <c r="D1107" s="2">
        <v>2</v>
      </c>
      <c r="E1107" s="2">
        <v>5.4</v>
      </c>
      <c r="F1107" s="2">
        <v>513</v>
      </c>
      <c r="G1107" t="str">
        <f>_xlfn.XLOOKUP(C1107,products!A:A,products!B:B)</f>
        <v>Peach</v>
      </c>
      <c r="H1107" t="str">
        <f>_xlfn.XLOOKUP(D1107,stores!A:A,stores!B:B)</f>
        <v>Ohrid</v>
      </c>
      <c r="I1107" t="str">
        <f t="shared" si="34"/>
        <v>NORMAL</v>
      </c>
      <c r="J1107" s="4" t="str">
        <f t="shared" si="35"/>
        <v>9</v>
      </c>
    </row>
    <row r="1108" spans="1:10">
      <c r="A1108" s="2">
        <v>1107</v>
      </c>
      <c r="B1108" s="3">
        <v>46283</v>
      </c>
      <c r="C1108" s="2">
        <v>1</v>
      </c>
      <c r="D1108" s="2">
        <v>1</v>
      </c>
      <c r="E1108" s="2">
        <v>29</v>
      </c>
      <c r="F1108" s="2">
        <v>1740</v>
      </c>
      <c r="G1108" t="str">
        <f>_xlfn.XLOOKUP(C1108,products!A:A,products!B:B)</f>
        <v>Apple</v>
      </c>
      <c r="H1108" t="str">
        <f>_xlfn.XLOOKUP(D1108,stores!A:A,stores!B:B)</f>
        <v>Bitola</v>
      </c>
      <c r="I1108" t="str">
        <f t="shared" si="34"/>
        <v>NORMAL</v>
      </c>
      <c r="J1108" s="4" t="str">
        <f t="shared" si="35"/>
        <v>9</v>
      </c>
    </row>
    <row r="1109" spans="1:10">
      <c r="A1109" s="2">
        <v>1108</v>
      </c>
      <c r="B1109" s="3">
        <v>46283</v>
      </c>
      <c r="C1109" s="2">
        <v>1</v>
      </c>
      <c r="D1109" s="2">
        <v>2</v>
      </c>
      <c r="E1109" s="2">
        <v>13.9</v>
      </c>
      <c r="F1109" s="2">
        <v>834</v>
      </c>
      <c r="G1109" t="str">
        <f>_xlfn.XLOOKUP(C1109,products!A:A,products!B:B)</f>
        <v>Apple</v>
      </c>
      <c r="H1109" t="str">
        <f>_xlfn.XLOOKUP(D1109,stores!A:A,stores!B:B)</f>
        <v>Ohrid</v>
      </c>
      <c r="I1109" t="str">
        <f t="shared" si="34"/>
        <v>NORMAL</v>
      </c>
      <c r="J1109" s="4" t="str">
        <f t="shared" si="35"/>
        <v>9</v>
      </c>
    </row>
    <row r="1110" spans="1:10">
      <c r="A1110" s="2">
        <v>1109</v>
      </c>
      <c r="B1110" s="3">
        <v>46283</v>
      </c>
      <c r="C1110" s="2">
        <v>2</v>
      </c>
      <c r="D1110" s="2">
        <v>1</v>
      </c>
      <c r="E1110" s="2">
        <v>22.1</v>
      </c>
      <c r="F1110" s="2">
        <v>1989</v>
      </c>
      <c r="G1110" t="str">
        <f>_xlfn.XLOOKUP(C1110,products!A:A,products!B:B)</f>
        <v>Banana</v>
      </c>
      <c r="H1110" t="str">
        <f>_xlfn.XLOOKUP(D1110,stores!A:A,stores!B:B)</f>
        <v>Bitola</v>
      </c>
      <c r="I1110" t="str">
        <f t="shared" si="34"/>
        <v>NORMAL</v>
      </c>
      <c r="J1110" s="4" t="str">
        <f t="shared" si="35"/>
        <v>9</v>
      </c>
    </row>
    <row r="1111" spans="1:10">
      <c r="A1111" s="2">
        <v>1110</v>
      </c>
      <c r="B1111" s="3">
        <v>46283</v>
      </c>
      <c r="C1111" s="2">
        <v>2</v>
      </c>
      <c r="D1111" s="2">
        <v>2</v>
      </c>
      <c r="E1111" s="2">
        <v>20.8</v>
      </c>
      <c r="F1111" s="2">
        <v>1872</v>
      </c>
      <c r="G1111" t="str">
        <f>_xlfn.XLOOKUP(C1111,products!A:A,products!B:B)</f>
        <v>Banana</v>
      </c>
      <c r="H1111" t="str">
        <f>_xlfn.XLOOKUP(D1111,stores!A:A,stores!B:B)</f>
        <v>Ohrid</v>
      </c>
      <c r="I1111" t="str">
        <f t="shared" si="34"/>
        <v>NORMAL</v>
      </c>
      <c r="J1111" s="4" t="str">
        <f t="shared" si="35"/>
        <v>9</v>
      </c>
    </row>
    <row r="1112" spans="1:10">
      <c r="A1112" s="2">
        <v>1111</v>
      </c>
      <c r="B1112" s="3">
        <v>46283</v>
      </c>
      <c r="C1112" s="2">
        <v>3</v>
      </c>
      <c r="D1112" s="2">
        <v>1</v>
      </c>
      <c r="E1112" s="2">
        <v>12.3</v>
      </c>
      <c r="F1112" s="2">
        <v>984</v>
      </c>
      <c r="G1112" t="str">
        <f>_xlfn.XLOOKUP(C1112,products!A:A,products!B:B)</f>
        <v>Orange</v>
      </c>
      <c r="H1112" t="str">
        <f>_xlfn.XLOOKUP(D1112,stores!A:A,stores!B:B)</f>
        <v>Bitola</v>
      </c>
      <c r="I1112" t="str">
        <f t="shared" si="34"/>
        <v>NORMAL</v>
      </c>
      <c r="J1112" s="4" t="str">
        <f t="shared" si="35"/>
        <v>9</v>
      </c>
    </row>
    <row r="1113" spans="1:10">
      <c r="A1113" s="2">
        <v>1112</v>
      </c>
      <c r="B1113" s="3">
        <v>46283</v>
      </c>
      <c r="C1113" s="2">
        <v>3</v>
      </c>
      <c r="D1113" s="2">
        <v>2</v>
      </c>
      <c r="E1113" s="2">
        <v>11.8</v>
      </c>
      <c r="F1113" s="2">
        <v>944</v>
      </c>
      <c r="G1113" t="str">
        <f>_xlfn.XLOOKUP(C1113,products!A:A,products!B:B)</f>
        <v>Orange</v>
      </c>
      <c r="H1113" t="str">
        <f>_xlfn.XLOOKUP(D1113,stores!A:A,stores!B:B)</f>
        <v>Ohrid</v>
      </c>
      <c r="I1113" t="str">
        <f t="shared" si="34"/>
        <v>NORMAL</v>
      </c>
      <c r="J1113" s="4" t="str">
        <f t="shared" si="35"/>
        <v>9</v>
      </c>
    </row>
    <row r="1114" spans="1:10">
      <c r="A1114" s="2">
        <v>1113</v>
      </c>
      <c r="B1114" s="3">
        <v>46283</v>
      </c>
      <c r="C1114" s="2">
        <v>4</v>
      </c>
      <c r="D1114" s="2">
        <v>1</v>
      </c>
      <c r="E1114" s="2">
        <v>27.6</v>
      </c>
      <c r="F1114" s="2">
        <v>690</v>
      </c>
      <c r="G1114" t="str">
        <f>_xlfn.XLOOKUP(C1114,products!A:A,products!B:B)</f>
        <v>Watermelon</v>
      </c>
      <c r="H1114" t="str">
        <f>_xlfn.XLOOKUP(D1114,stores!A:A,stores!B:B)</f>
        <v>Bitola</v>
      </c>
      <c r="I1114" t="str">
        <f t="shared" si="34"/>
        <v>NORMAL</v>
      </c>
      <c r="J1114" s="4" t="str">
        <f t="shared" si="35"/>
        <v>9</v>
      </c>
    </row>
    <row r="1115" spans="1:10">
      <c r="A1115" s="2">
        <v>1114</v>
      </c>
      <c r="B1115" s="3">
        <v>46283</v>
      </c>
      <c r="C1115" s="2">
        <v>4</v>
      </c>
      <c r="D1115" s="2">
        <v>2</v>
      </c>
      <c r="E1115" s="2">
        <v>23.8</v>
      </c>
      <c r="F1115" s="2">
        <v>595</v>
      </c>
      <c r="G1115" t="str">
        <f>_xlfn.XLOOKUP(C1115,products!A:A,products!B:B)</f>
        <v>Watermelon</v>
      </c>
      <c r="H1115" t="str">
        <f>_xlfn.XLOOKUP(D1115,stores!A:A,stores!B:B)</f>
        <v>Ohrid</v>
      </c>
      <c r="I1115" t="str">
        <f t="shared" si="34"/>
        <v>NORMAL</v>
      </c>
      <c r="J1115" s="4" t="str">
        <f t="shared" si="35"/>
        <v>9</v>
      </c>
    </row>
    <row r="1116" spans="1:10">
      <c r="A1116" s="2">
        <v>1115</v>
      </c>
      <c r="B1116" s="3">
        <v>46283</v>
      </c>
      <c r="C1116" s="2">
        <v>5</v>
      </c>
      <c r="D1116" s="2">
        <v>1</v>
      </c>
      <c r="E1116" s="2">
        <v>36.4</v>
      </c>
      <c r="F1116" s="2">
        <v>4004</v>
      </c>
      <c r="G1116" t="str">
        <f>_xlfn.XLOOKUP(C1116,products!A:A,products!B:B)</f>
        <v>Grapes</v>
      </c>
      <c r="H1116" t="str">
        <f>_xlfn.XLOOKUP(D1116,stores!A:A,stores!B:B)</f>
        <v>Bitola</v>
      </c>
      <c r="I1116" t="str">
        <f t="shared" si="34"/>
        <v>NORMAL</v>
      </c>
      <c r="J1116" s="4" t="str">
        <f t="shared" si="35"/>
        <v>9</v>
      </c>
    </row>
    <row r="1117" spans="1:10">
      <c r="A1117" s="2">
        <v>1116</v>
      </c>
      <c r="B1117" s="3">
        <v>46283</v>
      </c>
      <c r="C1117" s="2">
        <v>5</v>
      </c>
      <c r="D1117" s="2">
        <v>2</v>
      </c>
      <c r="E1117" s="2">
        <v>31.3</v>
      </c>
      <c r="F1117" s="2">
        <v>3443</v>
      </c>
      <c r="G1117" t="str">
        <f>_xlfn.XLOOKUP(C1117,products!A:A,products!B:B)</f>
        <v>Grapes</v>
      </c>
      <c r="H1117" t="str">
        <f>_xlfn.XLOOKUP(D1117,stores!A:A,stores!B:B)</f>
        <v>Ohrid</v>
      </c>
      <c r="I1117" t="str">
        <f t="shared" si="34"/>
        <v>NORMAL</v>
      </c>
      <c r="J1117" s="4" t="str">
        <f t="shared" si="35"/>
        <v>9</v>
      </c>
    </row>
    <row r="1118" spans="1:10">
      <c r="A1118" s="2">
        <v>1117</v>
      </c>
      <c r="B1118" s="3">
        <v>46283</v>
      </c>
      <c r="C1118" s="2">
        <v>6</v>
      </c>
      <c r="D1118" s="2">
        <v>1</v>
      </c>
      <c r="E1118" s="2">
        <v>1.5</v>
      </c>
      <c r="F1118" s="2">
        <v>330</v>
      </c>
      <c r="G1118" t="str">
        <f>_xlfn.XLOOKUP(C1118,products!A:A,products!B:B)</f>
        <v>Strawberry</v>
      </c>
      <c r="H1118" t="str">
        <f>_xlfn.XLOOKUP(D1118,stores!A:A,stores!B:B)</f>
        <v>Bitola</v>
      </c>
      <c r="I1118" t="str">
        <f t="shared" si="34"/>
        <v>NORMAL</v>
      </c>
      <c r="J1118" s="4" t="str">
        <f t="shared" si="35"/>
        <v>9</v>
      </c>
    </row>
    <row r="1119" spans="1:10">
      <c r="A1119" s="2">
        <v>1118</v>
      </c>
      <c r="B1119" s="3">
        <v>46283</v>
      </c>
      <c r="C1119" s="2">
        <v>6</v>
      </c>
      <c r="D1119" s="2">
        <v>2</v>
      </c>
      <c r="E1119" s="2">
        <v>2.3</v>
      </c>
      <c r="F1119" s="2">
        <v>506</v>
      </c>
      <c r="G1119" t="str">
        <f>_xlfn.XLOOKUP(C1119,products!A:A,products!B:B)</f>
        <v>Strawberry</v>
      </c>
      <c r="H1119" t="str">
        <f>_xlfn.XLOOKUP(D1119,stores!A:A,stores!B:B)</f>
        <v>Ohrid</v>
      </c>
      <c r="I1119" t="str">
        <f t="shared" si="34"/>
        <v>NORMAL</v>
      </c>
      <c r="J1119" s="4" t="str">
        <f t="shared" si="35"/>
        <v>9</v>
      </c>
    </row>
    <row r="1120" spans="1:10">
      <c r="A1120" s="2">
        <v>1119</v>
      </c>
      <c r="B1120" s="3">
        <v>46283</v>
      </c>
      <c r="C1120" s="2">
        <v>7</v>
      </c>
      <c r="D1120" s="2">
        <v>1</v>
      </c>
      <c r="E1120" s="2">
        <v>6.8</v>
      </c>
      <c r="F1120" s="2">
        <v>646</v>
      </c>
      <c r="G1120" t="str">
        <f>_xlfn.XLOOKUP(C1120,products!A:A,products!B:B)</f>
        <v>Peach</v>
      </c>
      <c r="H1120" t="str">
        <f>_xlfn.XLOOKUP(D1120,stores!A:A,stores!B:B)</f>
        <v>Bitola</v>
      </c>
      <c r="I1120" t="str">
        <f t="shared" si="34"/>
        <v>NORMAL</v>
      </c>
      <c r="J1120" s="4" t="str">
        <f t="shared" si="35"/>
        <v>9</v>
      </c>
    </row>
    <row r="1121" spans="1:10">
      <c r="A1121" s="2">
        <v>1120</v>
      </c>
      <c r="B1121" s="3">
        <v>46283</v>
      </c>
      <c r="C1121" s="2">
        <v>7</v>
      </c>
      <c r="D1121" s="2">
        <v>2</v>
      </c>
      <c r="E1121" s="2">
        <v>7.5</v>
      </c>
      <c r="F1121" s="2">
        <v>712</v>
      </c>
      <c r="G1121" t="str">
        <f>_xlfn.XLOOKUP(C1121,products!A:A,products!B:B)</f>
        <v>Peach</v>
      </c>
      <c r="H1121" t="str">
        <f>_xlfn.XLOOKUP(D1121,stores!A:A,stores!B:B)</f>
        <v>Ohrid</v>
      </c>
      <c r="I1121" t="str">
        <f t="shared" si="34"/>
        <v>NORMAL</v>
      </c>
      <c r="J1121" s="4" t="str">
        <f t="shared" si="35"/>
        <v>9</v>
      </c>
    </row>
    <row r="1122" spans="1:10">
      <c r="A1122" s="2">
        <v>1121</v>
      </c>
      <c r="B1122" s="3">
        <v>46284</v>
      </c>
      <c r="C1122" s="2">
        <v>1</v>
      </c>
      <c r="D1122" s="2">
        <v>1</v>
      </c>
      <c r="E1122" s="2">
        <v>52.2</v>
      </c>
      <c r="F1122" s="2">
        <v>3132</v>
      </c>
      <c r="G1122" t="str">
        <f>_xlfn.XLOOKUP(C1122,products!A:A,products!B:B)</f>
        <v>Apple</v>
      </c>
      <c r="H1122" t="str">
        <f>_xlfn.XLOOKUP(D1122,stores!A:A,stores!B:B)</f>
        <v>Bitola</v>
      </c>
      <c r="I1122" t="str">
        <f t="shared" si="34"/>
        <v>BIG</v>
      </c>
      <c r="J1122" s="4" t="str">
        <f t="shared" si="35"/>
        <v>9</v>
      </c>
    </row>
    <row r="1123" spans="1:10">
      <c r="A1123" s="2">
        <v>1122</v>
      </c>
      <c r="B1123" s="3">
        <v>46284</v>
      </c>
      <c r="C1123" s="2">
        <v>1</v>
      </c>
      <c r="D1123" s="2">
        <v>2</v>
      </c>
      <c r="E1123" s="2">
        <v>19.9</v>
      </c>
      <c r="F1123" s="2">
        <v>1194</v>
      </c>
      <c r="G1123" t="str">
        <f>_xlfn.XLOOKUP(C1123,products!A:A,products!B:B)</f>
        <v>Apple</v>
      </c>
      <c r="H1123" t="str">
        <f>_xlfn.XLOOKUP(D1123,stores!A:A,stores!B:B)</f>
        <v>Ohrid</v>
      </c>
      <c r="I1123" t="str">
        <f t="shared" si="34"/>
        <v>NORMAL</v>
      </c>
      <c r="J1123" s="4" t="str">
        <f t="shared" si="35"/>
        <v>9</v>
      </c>
    </row>
    <row r="1124" spans="1:10">
      <c r="A1124" s="2">
        <v>1123</v>
      </c>
      <c r="B1124" s="3">
        <v>46284</v>
      </c>
      <c r="C1124" s="2">
        <v>2</v>
      </c>
      <c r="D1124" s="2">
        <v>1</v>
      </c>
      <c r="E1124" s="2">
        <v>36.2</v>
      </c>
      <c r="F1124" s="2">
        <v>3258</v>
      </c>
      <c r="G1124" t="str">
        <f>_xlfn.XLOOKUP(C1124,products!A:A,products!B:B)</f>
        <v>Banana</v>
      </c>
      <c r="H1124" t="str">
        <f>_xlfn.XLOOKUP(D1124,stores!A:A,stores!B:B)</f>
        <v>Bitola</v>
      </c>
      <c r="I1124" t="str">
        <f t="shared" si="34"/>
        <v>NORMAL</v>
      </c>
      <c r="J1124" s="4" t="str">
        <f t="shared" si="35"/>
        <v>9</v>
      </c>
    </row>
    <row r="1125" spans="1:10">
      <c r="A1125" s="2">
        <v>1124</v>
      </c>
      <c r="B1125" s="3">
        <v>46284</v>
      </c>
      <c r="C1125" s="2">
        <v>2</v>
      </c>
      <c r="D1125" s="2">
        <v>2</v>
      </c>
      <c r="E1125" s="2">
        <v>21.9</v>
      </c>
      <c r="F1125" s="2">
        <v>1971</v>
      </c>
      <c r="G1125" t="str">
        <f>_xlfn.XLOOKUP(C1125,products!A:A,products!B:B)</f>
        <v>Banana</v>
      </c>
      <c r="H1125" t="str">
        <f>_xlfn.XLOOKUP(D1125,stores!A:A,stores!B:B)</f>
        <v>Ohrid</v>
      </c>
      <c r="I1125" t="str">
        <f t="shared" si="34"/>
        <v>NORMAL</v>
      </c>
      <c r="J1125" s="4" t="str">
        <f t="shared" si="35"/>
        <v>9</v>
      </c>
    </row>
    <row r="1126" spans="1:10">
      <c r="A1126" s="2">
        <v>1125</v>
      </c>
      <c r="B1126" s="3">
        <v>46284</v>
      </c>
      <c r="C1126" s="2">
        <v>3</v>
      </c>
      <c r="D1126" s="2">
        <v>1</v>
      </c>
      <c r="E1126" s="2">
        <v>17</v>
      </c>
      <c r="F1126" s="2">
        <v>1360</v>
      </c>
      <c r="G1126" t="str">
        <f>_xlfn.XLOOKUP(C1126,products!A:A,products!B:B)</f>
        <v>Orange</v>
      </c>
      <c r="H1126" t="str">
        <f>_xlfn.XLOOKUP(D1126,stores!A:A,stores!B:B)</f>
        <v>Bitola</v>
      </c>
      <c r="I1126" t="str">
        <f t="shared" si="34"/>
        <v>NORMAL</v>
      </c>
      <c r="J1126" s="4" t="str">
        <f t="shared" si="35"/>
        <v>9</v>
      </c>
    </row>
    <row r="1127" spans="1:10">
      <c r="A1127" s="2">
        <v>1126</v>
      </c>
      <c r="B1127" s="3">
        <v>46284</v>
      </c>
      <c r="C1127" s="2">
        <v>3</v>
      </c>
      <c r="D1127" s="2">
        <v>2</v>
      </c>
      <c r="E1127" s="2">
        <v>15.2</v>
      </c>
      <c r="F1127" s="2">
        <v>1216</v>
      </c>
      <c r="G1127" t="str">
        <f>_xlfn.XLOOKUP(C1127,products!A:A,products!B:B)</f>
        <v>Orange</v>
      </c>
      <c r="H1127" t="str">
        <f>_xlfn.XLOOKUP(D1127,stores!A:A,stores!B:B)</f>
        <v>Ohrid</v>
      </c>
      <c r="I1127" t="str">
        <f t="shared" si="34"/>
        <v>NORMAL</v>
      </c>
      <c r="J1127" s="4" t="str">
        <f t="shared" si="35"/>
        <v>9</v>
      </c>
    </row>
    <row r="1128" spans="1:10">
      <c r="A1128" s="2">
        <v>1127</v>
      </c>
      <c r="B1128" s="3">
        <v>46284</v>
      </c>
      <c r="C1128" s="2">
        <v>4</v>
      </c>
      <c r="D1128" s="2">
        <v>1</v>
      </c>
      <c r="E1128" s="2">
        <v>50.2</v>
      </c>
      <c r="F1128" s="2">
        <v>1255</v>
      </c>
      <c r="G1128" t="str">
        <f>_xlfn.XLOOKUP(C1128,products!A:A,products!B:B)</f>
        <v>Watermelon</v>
      </c>
      <c r="H1128" t="str">
        <f>_xlfn.XLOOKUP(D1128,stores!A:A,stores!B:B)</f>
        <v>Bitola</v>
      </c>
      <c r="I1128" t="str">
        <f t="shared" si="34"/>
        <v>BIG</v>
      </c>
      <c r="J1128" s="4" t="str">
        <f t="shared" si="35"/>
        <v>9</v>
      </c>
    </row>
    <row r="1129" spans="1:10">
      <c r="A1129" s="2">
        <v>1128</v>
      </c>
      <c r="B1129" s="3">
        <v>46284</v>
      </c>
      <c r="C1129" s="2">
        <v>4</v>
      </c>
      <c r="D1129" s="2">
        <v>2</v>
      </c>
      <c r="E1129" s="2">
        <v>28.3</v>
      </c>
      <c r="F1129" s="2">
        <v>708</v>
      </c>
      <c r="G1129" t="str">
        <f>_xlfn.XLOOKUP(C1129,products!A:A,products!B:B)</f>
        <v>Watermelon</v>
      </c>
      <c r="H1129" t="str">
        <f>_xlfn.XLOOKUP(D1129,stores!A:A,stores!B:B)</f>
        <v>Ohrid</v>
      </c>
      <c r="I1129" t="str">
        <f t="shared" si="34"/>
        <v>NORMAL</v>
      </c>
      <c r="J1129" s="4" t="str">
        <f t="shared" si="35"/>
        <v>9</v>
      </c>
    </row>
    <row r="1130" spans="1:10">
      <c r="A1130" s="2">
        <v>1129</v>
      </c>
      <c r="B1130" s="3">
        <v>46284</v>
      </c>
      <c r="C1130" s="2">
        <v>5</v>
      </c>
      <c r="D1130" s="2">
        <v>1</v>
      </c>
      <c r="E1130" s="2">
        <v>34.5</v>
      </c>
      <c r="F1130" s="2">
        <v>3795</v>
      </c>
      <c r="G1130" t="str">
        <f>_xlfn.XLOOKUP(C1130,products!A:A,products!B:B)</f>
        <v>Grapes</v>
      </c>
      <c r="H1130" t="str">
        <f>_xlfn.XLOOKUP(D1130,stores!A:A,stores!B:B)</f>
        <v>Bitola</v>
      </c>
      <c r="I1130" t="str">
        <f t="shared" si="34"/>
        <v>NORMAL</v>
      </c>
      <c r="J1130" s="4" t="str">
        <f t="shared" si="35"/>
        <v>9</v>
      </c>
    </row>
    <row r="1131" spans="1:10">
      <c r="A1131" s="2">
        <v>1130</v>
      </c>
      <c r="B1131" s="3">
        <v>46284</v>
      </c>
      <c r="C1131" s="2">
        <v>5</v>
      </c>
      <c r="D1131" s="2">
        <v>2</v>
      </c>
      <c r="E1131" s="2">
        <v>35.5</v>
      </c>
      <c r="F1131" s="2">
        <v>3905</v>
      </c>
      <c r="G1131" t="str">
        <f>_xlfn.XLOOKUP(C1131,products!A:A,products!B:B)</f>
        <v>Grapes</v>
      </c>
      <c r="H1131" t="str">
        <f>_xlfn.XLOOKUP(D1131,stores!A:A,stores!B:B)</f>
        <v>Ohrid</v>
      </c>
      <c r="I1131" t="str">
        <f t="shared" si="34"/>
        <v>NORMAL</v>
      </c>
      <c r="J1131" s="4" t="str">
        <f t="shared" si="35"/>
        <v>9</v>
      </c>
    </row>
    <row r="1132" spans="1:10">
      <c r="A1132" s="2">
        <v>1131</v>
      </c>
      <c r="B1132" s="3">
        <v>46284</v>
      </c>
      <c r="C1132" s="2">
        <v>6</v>
      </c>
      <c r="D1132" s="2">
        <v>1</v>
      </c>
      <c r="E1132" s="2">
        <v>2.4</v>
      </c>
      <c r="F1132" s="2">
        <v>528</v>
      </c>
      <c r="G1132" t="str">
        <f>_xlfn.XLOOKUP(C1132,products!A:A,products!B:B)</f>
        <v>Strawberry</v>
      </c>
      <c r="H1132" t="str">
        <f>_xlfn.XLOOKUP(D1132,stores!A:A,stores!B:B)</f>
        <v>Bitola</v>
      </c>
      <c r="I1132" t="str">
        <f t="shared" si="34"/>
        <v>NORMAL</v>
      </c>
      <c r="J1132" s="4" t="str">
        <f t="shared" si="35"/>
        <v>9</v>
      </c>
    </row>
    <row r="1133" spans="1:10">
      <c r="A1133" s="2">
        <v>1132</v>
      </c>
      <c r="B1133" s="3">
        <v>46284</v>
      </c>
      <c r="C1133" s="2">
        <v>6</v>
      </c>
      <c r="D1133" s="2">
        <v>2</v>
      </c>
      <c r="E1133" s="2">
        <v>1.9</v>
      </c>
      <c r="F1133" s="2">
        <v>418</v>
      </c>
      <c r="G1133" t="str">
        <f>_xlfn.XLOOKUP(C1133,products!A:A,products!B:B)</f>
        <v>Strawberry</v>
      </c>
      <c r="H1133" t="str">
        <f>_xlfn.XLOOKUP(D1133,stores!A:A,stores!B:B)</f>
        <v>Ohrid</v>
      </c>
      <c r="I1133" t="str">
        <f t="shared" si="34"/>
        <v>NORMAL</v>
      </c>
      <c r="J1133" s="4" t="str">
        <f t="shared" si="35"/>
        <v>9</v>
      </c>
    </row>
    <row r="1134" spans="1:10">
      <c r="A1134" s="2">
        <v>1133</v>
      </c>
      <c r="B1134" s="3">
        <v>46284</v>
      </c>
      <c r="C1134" s="2">
        <v>7</v>
      </c>
      <c r="D1134" s="2">
        <v>1</v>
      </c>
      <c r="E1134" s="2">
        <v>12.4</v>
      </c>
      <c r="F1134" s="2">
        <v>1178</v>
      </c>
      <c r="G1134" t="str">
        <f>_xlfn.XLOOKUP(C1134,products!A:A,products!B:B)</f>
        <v>Peach</v>
      </c>
      <c r="H1134" t="str">
        <f>_xlfn.XLOOKUP(D1134,stores!A:A,stores!B:B)</f>
        <v>Bitola</v>
      </c>
      <c r="I1134" t="str">
        <f t="shared" si="34"/>
        <v>NORMAL</v>
      </c>
      <c r="J1134" s="4" t="str">
        <f t="shared" si="35"/>
        <v>9</v>
      </c>
    </row>
    <row r="1135" spans="1:10">
      <c r="A1135" s="2">
        <v>1134</v>
      </c>
      <c r="B1135" s="3">
        <v>46284</v>
      </c>
      <c r="C1135" s="2">
        <v>7</v>
      </c>
      <c r="D1135" s="2">
        <v>2</v>
      </c>
      <c r="E1135" s="2">
        <v>11.5</v>
      </c>
      <c r="F1135" s="2">
        <v>1092</v>
      </c>
      <c r="G1135" t="str">
        <f>_xlfn.XLOOKUP(C1135,products!A:A,products!B:B)</f>
        <v>Peach</v>
      </c>
      <c r="H1135" t="str">
        <f>_xlfn.XLOOKUP(D1135,stores!A:A,stores!B:B)</f>
        <v>Ohrid</v>
      </c>
      <c r="I1135" t="str">
        <f t="shared" si="34"/>
        <v>NORMAL</v>
      </c>
      <c r="J1135" s="4" t="str">
        <f t="shared" si="35"/>
        <v>9</v>
      </c>
    </row>
    <row r="1136" spans="1:10">
      <c r="A1136" s="2">
        <v>1135</v>
      </c>
      <c r="B1136" s="3">
        <v>46285</v>
      </c>
      <c r="C1136" s="2">
        <v>1</v>
      </c>
      <c r="D1136" s="2">
        <v>1</v>
      </c>
      <c r="E1136" s="2">
        <v>47.1</v>
      </c>
      <c r="F1136" s="2">
        <v>2826</v>
      </c>
      <c r="G1136" t="str">
        <f>_xlfn.XLOOKUP(C1136,products!A:A,products!B:B)</f>
        <v>Apple</v>
      </c>
      <c r="H1136" t="str">
        <f>_xlfn.XLOOKUP(D1136,stores!A:A,stores!B:B)</f>
        <v>Bitola</v>
      </c>
      <c r="I1136" t="str">
        <f t="shared" si="34"/>
        <v>NORMAL</v>
      </c>
      <c r="J1136" s="4" t="str">
        <f t="shared" si="35"/>
        <v>9</v>
      </c>
    </row>
    <row r="1137" spans="1:10">
      <c r="A1137" s="2">
        <v>1136</v>
      </c>
      <c r="B1137" s="3">
        <v>46285</v>
      </c>
      <c r="C1137" s="2">
        <v>1</v>
      </c>
      <c r="D1137" s="2">
        <v>2</v>
      </c>
      <c r="E1137" s="2">
        <v>29.2</v>
      </c>
      <c r="F1137" s="2">
        <v>1752</v>
      </c>
      <c r="G1137" t="str">
        <f>_xlfn.XLOOKUP(C1137,products!A:A,products!B:B)</f>
        <v>Apple</v>
      </c>
      <c r="H1137" t="str">
        <f>_xlfn.XLOOKUP(D1137,stores!A:A,stores!B:B)</f>
        <v>Ohrid</v>
      </c>
      <c r="I1137" t="str">
        <f t="shared" si="34"/>
        <v>NORMAL</v>
      </c>
      <c r="J1137" s="4" t="str">
        <f t="shared" si="35"/>
        <v>9</v>
      </c>
    </row>
    <row r="1138" spans="1:10">
      <c r="A1138" s="2">
        <v>1137</v>
      </c>
      <c r="B1138" s="3">
        <v>46285</v>
      </c>
      <c r="C1138" s="2">
        <v>2</v>
      </c>
      <c r="D1138" s="2">
        <v>1</v>
      </c>
      <c r="E1138" s="2">
        <v>29.6</v>
      </c>
      <c r="F1138" s="2">
        <v>2664</v>
      </c>
      <c r="G1138" t="str">
        <f>_xlfn.XLOOKUP(C1138,products!A:A,products!B:B)</f>
        <v>Banana</v>
      </c>
      <c r="H1138" t="str">
        <f>_xlfn.XLOOKUP(D1138,stores!A:A,stores!B:B)</f>
        <v>Bitola</v>
      </c>
      <c r="I1138" t="str">
        <f t="shared" si="34"/>
        <v>NORMAL</v>
      </c>
      <c r="J1138" s="4" t="str">
        <f t="shared" si="35"/>
        <v>9</v>
      </c>
    </row>
    <row r="1139" spans="1:10">
      <c r="A1139" s="2">
        <v>1138</v>
      </c>
      <c r="B1139" s="3">
        <v>46285</v>
      </c>
      <c r="C1139" s="2">
        <v>2</v>
      </c>
      <c r="D1139" s="2">
        <v>2</v>
      </c>
      <c r="E1139" s="2">
        <v>31.1</v>
      </c>
      <c r="F1139" s="2">
        <v>2799</v>
      </c>
      <c r="G1139" t="str">
        <f>_xlfn.XLOOKUP(C1139,products!A:A,products!B:B)</f>
        <v>Banana</v>
      </c>
      <c r="H1139" t="str">
        <f>_xlfn.XLOOKUP(D1139,stores!A:A,stores!B:B)</f>
        <v>Ohrid</v>
      </c>
      <c r="I1139" t="str">
        <f t="shared" si="34"/>
        <v>NORMAL</v>
      </c>
      <c r="J1139" s="4" t="str">
        <f t="shared" si="35"/>
        <v>9</v>
      </c>
    </row>
    <row r="1140" spans="1:10">
      <c r="A1140" s="2">
        <v>1139</v>
      </c>
      <c r="B1140" s="3">
        <v>46285</v>
      </c>
      <c r="C1140" s="2">
        <v>3</v>
      </c>
      <c r="D1140" s="2">
        <v>1</v>
      </c>
      <c r="E1140" s="2">
        <v>16.9</v>
      </c>
      <c r="F1140" s="2">
        <v>1352</v>
      </c>
      <c r="G1140" t="str">
        <f>_xlfn.XLOOKUP(C1140,products!A:A,products!B:B)</f>
        <v>Orange</v>
      </c>
      <c r="H1140" t="str">
        <f>_xlfn.XLOOKUP(D1140,stores!A:A,stores!B:B)</f>
        <v>Bitola</v>
      </c>
      <c r="I1140" t="str">
        <f t="shared" si="34"/>
        <v>NORMAL</v>
      </c>
      <c r="J1140" s="4" t="str">
        <f t="shared" si="35"/>
        <v>9</v>
      </c>
    </row>
    <row r="1141" spans="1:10">
      <c r="A1141" s="2">
        <v>1140</v>
      </c>
      <c r="B1141" s="3">
        <v>46285</v>
      </c>
      <c r="C1141" s="2">
        <v>3</v>
      </c>
      <c r="D1141" s="2">
        <v>2</v>
      </c>
      <c r="E1141" s="2">
        <v>15.2</v>
      </c>
      <c r="F1141" s="2">
        <v>1216</v>
      </c>
      <c r="G1141" t="str">
        <f>_xlfn.XLOOKUP(C1141,products!A:A,products!B:B)</f>
        <v>Orange</v>
      </c>
      <c r="H1141" t="str">
        <f>_xlfn.XLOOKUP(D1141,stores!A:A,stores!B:B)</f>
        <v>Ohrid</v>
      </c>
      <c r="I1141" t="str">
        <f t="shared" si="34"/>
        <v>NORMAL</v>
      </c>
      <c r="J1141" s="4" t="str">
        <f t="shared" si="35"/>
        <v>9</v>
      </c>
    </row>
    <row r="1142" spans="1:10">
      <c r="A1142" s="2">
        <v>1141</v>
      </c>
      <c r="B1142" s="3">
        <v>46285</v>
      </c>
      <c r="C1142" s="2">
        <v>4</v>
      </c>
      <c r="D1142" s="2">
        <v>1</v>
      </c>
      <c r="E1142" s="2">
        <v>37.4</v>
      </c>
      <c r="F1142" s="2">
        <v>935</v>
      </c>
      <c r="G1142" t="str">
        <f>_xlfn.XLOOKUP(C1142,products!A:A,products!B:B)</f>
        <v>Watermelon</v>
      </c>
      <c r="H1142" t="str">
        <f>_xlfn.XLOOKUP(D1142,stores!A:A,stores!B:B)</f>
        <v>Bitola</v>
      </c>
      <c r="I1142" t="str">
        <f t="shared" si="34"/>
        <v>NORMAL</v>
      </c>
      <c r="J1142" s="4" t="str">
        <f t="shared" si="35"/>
        <v>9</v>
      </c>
    </row>
    <row r="1143" spans="1:10">
      <c r="A1143" s="2">
        <v>1142</v>
      </c>
      <c r="B1143" s="3">
        <v>46285</v>
      </c>
      <c r="C1143" s="2">
        <v>4</v>
      </c>
      <c r="D1143" s="2">
        <v>2</v>
      </c>
      <c r="E1143" s="2">
        <v>29.1</v>
      </c>
      <c r="F1143" s="2">
        <v>728</v>
      </c>
      <c r="G1143" t="str">
        <f>_xlfn.XLOOKUP(C1143,products!A:A,products!B:B)</f>
        <v>Watermelon</v>
      </c>
      <c r="H1143" t="str">
        <f>_xlfn.XLOOKUP(D1143,stores!A:A,stores!B:B)</f>
        <v>Ohrid</v>
      </c>
      <c r="I1143" t="str">
        <f t="shared" si="34"/>
        <v>NORMAL</v>
      </c>
      <c r="J1143" s="4" t="str">
        <f t="shared" si="35"/>
        <v>9</v>
      </c>
    </row>
    <row r="1144" spans="1:10">
      <c r="A1144" s="2">
        <v>1143</v>
      </c>
      <c r="B1144" s="3">
        <v>46285</v>
      </c>
      <c r="C1144" s="2">
        <v>5</v>
      </c>
      <c r="D1144" s="2">
        <v>1</v>
      </c>
      <c r="E1144" s="2">
        <v>29.4</v>
      </c>
      <c r="F1144" s="2">
        <v>3234</v>
      </c>
      <c r="G1144" t="str">
        <f>_xlfn.XLOOKUP(C1144,products!A:A,products!B:B)</f>
        <v>Grapes</v>
      </c>
      <c r="H1144" t="str">
        <f>_xlfn.XLOOKUP(D1144,stores!A:A,stores!B:B)</f>
        <v>Bitola</v>
      </c>
      <c r="I1144" t="str">
        <f t="shared" si="34"/>
        <v>NORMAL</v>
      </c>
      <c r="J1144" s="4" t="str">
        <f t="shared" si="35"/>
        <v>9</v>
      </c>
    </row>
    <row r="1145" spans="1:10">
      <c r="A1145" s="2">
        <v>1144</v>
      </c>
      <c r="B1145" s="3">
        <v>46285</v>
      </c>
      <c r="C1145" s="2">
        <v>5</v>
      </c>
      <c r="D1145" s="2">
        <v>2</v>
      </c>
      <c r="E1145" s="2">
        <v>34.3</v>
      </c>
      <c r="F1145" s="2">
        <v>3773</v>
      </c>
      <c r="G1145" t="str">
        <f>_xlfn.XLOOKUP(C1145,products!A:A,products!B:B)</f>
        <v>Grapes</v>
      </c>
      <c r="H1145" t="str">
        <f>_xlfn.XLOOKUP(D1145,stores!A:A,stores!B:B)</f>
        <v>Ohrid</v>
      </c>
      <c r="I1145" t="str">
        <f t="shared" si="34"/>
        <v>NORMAL</v>
      </c>
      <c r="J1145" s="4" t="str">
        <f t="shared" si="35"/>
        <v>9</v>
      </c>
    </row>
    <row r="1146" spans="1:10">
      <c r="A1146" s="2">
        <v>1145</v>
      </c>
      <c r="B1146" s="3">
        <v>46285</v>
      </c>
      <c r="C1146" s="2">
        <v>6</v>
      </c>
      <c r="D1146" s="2">
        <v>1</v>
      </c>
      <c r="E1146" s="2">
        <v>2</v>
      </c>
      <c r="F1146" s="2">
        <v>440</v>
      </c>
      <c r="G1146" t="str">
        <f>_xlfn.XLOOKUP(C1146,products!A:A,products!B:B)</f>
        <v>Strawberry</v>
      </c>
      <c r="H1146" t="str">
        <f>_xlfn.XLOOKUP(D1146,stores!A:A,stores!B:B)</f>
        <v>Bitola</v>
      </c>
      <c r="I1146" t="str">
        <f t="shared" si="34"/>
        <v>NORMAL</v>
      </c>
      <c r="J1146" s="4" t="str">
        <f t="shared" si="35"/>
        <v>9</v>
      </c>
    </row>
    <row r="1147" spans="1:10">
      <c r="A1147" s="2">
        <v>1146</v>
      </c>
      <c r="B1147" s="3">
        <v>46285</v>
      </c>
      <c r="C1147" s="2">
        <v>6</v>
      </c>
      <c r="D1147" s="2">
        <v>2</v>
      </c>
      <c r="E1147" s="2">
        <v>2.8</v>
      </c>
      <c r="F1147" s="2">
        <v>616</v>
      </c>
      <c r="G1147" t="str">
        <f>_xlfn.XLOOKUP(C1147,products!A:A,products!B:B)</f>
        <v>Strawberry</v>
      </c>
      <c r="H1147" t="str">
        <f>_xlfn.XLOOKUP(D1147,stores!A:A,stores!B:B)</f>
        <v>Ohrid</v>
      </c>
      <c r="I1147" t="str">
        <f t="shared" si="34"/>
        <v>NORMAL</v>
      </c>
      <c r="J1147" s="4" t="str">
        <f t="shared" si="35"/>
        <v>9</v>
      </c>
    </row>
    <row r="1148" spans="1:10">
      <c r="A1148" s="2">
        <v>1147</v>
      </c>
      <c r="B1148" s="3">
        <v>46285</v>
      </c>
      <c r="C1148" s="2">
        <v>7</v>
      </c>
      <c r="D1148" s="2">
        <v>1</v>
      </c>
      <c r="E1148" s="2">
        <v>13</v>
      </c>
      <c r="F1148" s="2">
        <v>1235</v>
      </c>
      <c r="G1148" t="str">
        <f>_xlfn.XLOOKUP(C1148,products!A:A,products!B:B)</f>
        <v>Peach</v>
      </c>
      <c r="H1148" t="str">
        <f>_xlfn.XLOOKUP(D1148,stores!A:A,stores!B:B)</f>
        <v>Bitola</v>
      </c>
      <c r="I1148" t="str">
        <f t="shared" si="34"/>
        <v>NORMAL</v>
      </c>
      <c r="J1148" s="4" t="str">
        <f t="shared" si="35"/>
        <v>9</v>
      </c>
    </row>
    <row r="1149" spans="1:10">
      <c r="A1149" s="2">
        <v>1148</v>
      </c>
      <c r="B1149" s="3">
        <v>46285</v>
      </c>
      <c r="C1149" s="2">
        <v>7</v>
      </c>
      <c r="D1149" s="2">
        <v>2</v>
      </c>
      <c r="E1149" s="2">
        <v>8.4</v>
      </c>
      <c r="F1149" s="2">
        <v>798</v>
      </c>
      <c r="G1149" t="str">
        <f>_xlfn.XLOOKUP(C1149,products!A:A,products!B:B)</f>
        <v>Peach</v>
      </c>
      <c r="H1149" t="str">
        <f>_xlfn.XLOOKUP(D1149,stores!A:A,stores!B:B)</f>
        <v>Ohrid</v>
      </c>
      <c r="I1149" t="str">
        <f t="shared" si="34"/>
        <v>NORMAL</v>
      </c>
      <c r="J1149" s="4" t="str">
        <f t="shared" si="35"/>
        <v>9</v>
      </c>
    </row>
    <row r="1150" spans="1:10">
      <c r="A1150" s="2">
        <v>1149</v>
      </c>
      <c r="B1150" s="3">
        <v>46286</v>
      </c>
      <c r="C1150" s="2">
        <v>1</v>
      </c>
      <c r="D1150" s="2">
        <v>1</v>
      </c>
      <c r="E1150" s="2">
        <v>33.8</v>
      </c>
      <c r="F1150" s="2">
        <v>2028</v>
      </c>
      <c r="G1150" t="str">
        <f>_xlfn.XLOOKUP(C1150,products!A:A,products!B:B)</f>
        <v>Apple</v>
      </c>
      <c r="H1150" t="str">
        <f>_xlfn.XLOOKUP(D1150,stores!A:A,stores!B:B)</f>
        <v>Bitola</v>
      </c>
      <c r="I1150" t="str">
        <f t="shared" si="34"/>
        <v>NORMAL</v>
      </c>
      <c r="J1150" s="4" t="str">
        <f t="shared" si="35"/>
        <v>9</v>
      </c>
    </row>
    <row r="1151" spans="1:10">
      <c r="A1151" s="2">
        <v>1150</v>
      </c>
      <c r="B1151" s="3">
        <v>46286</v>
      </c>
      <c r="C1151" s="2">
        <v>1</v>
      </c>
      <c r="D1151" s="2">
        <v>2</v>
      </c>
      <c r="E1151" s="2">
        <v>29.8</v>
      </c>
      <c r="F1151" s="2">
        <v>1788</v>
      </c>
      <c r="G1151" t="str">
        <f>_xlfn.XLOOKUP(C1151,products!A:A,products!B:B)</f>
        <v>Apple</v>
      </c>
      <c r="H1151" t="str">
        <f>_xlfn.XLOOKUP(D1151,stores!A:A,stores!B:B)</f>
        <v>Ohrid</v>
      </c>
      <c r="I1151" t="str">
        <f t="shared" si="34"/>
        <v>NORMAL</v>
      </c>
      <c r="J1151" s="4" t="str">
        <f t="shared" si="35"/>
        <v>9</v>
      </c>
    </row>
    <row r="1152" spans="1:10">
      <c r="A1152" s="2">
        <v>1151</v>
      </c>
      <c r="B1152" s="3">
        <v>46286</v>
      </c>
      <c r="C1152" s="2">
        <v>2</v>
      </c>
      <c r="D1152" s="2">
        <v>1</v>
      </c>
      <c r="E1152" s="2">
        <v>30</v>
      </c>
      <c r="F1152" s="2">
        <v>2700</v>
      </c>
      <c r="G1152" t="str">
        <f>_xlfn.XLOOKUP(C1152,products!A:A,products!B:B)</f>
        <v>Banana</v>
      </c>
      <c r="H1152" t="str">
        <f>_xlfn.XLOOKUP(D1152,stores!A:A,stores!B:B)</f>
        <v>Bitola</v>
      </c>
      <c r="I1152" t="str">
        <f t="shared" si="34"/>
        <v>NORMAL</v>
      </c>
      <c r="J1152" s="4" t="str">
        <f t="shared" si="35"/>
        <v>9</v>
      </c>
    </row>
    <row r="1153" spans="1:10">
      <c r="A1153" s="2">
        <v>1152</v>
      </c>
      <c r="B1153" s="3">
        <v>46286</v>
      </c>
      <c r="C1153" s="2">
        <v>2</v>
      </c>
      <c r="D1153" s="2">
        <v>2</v>
      </c>
      <c r="E1153" s="2">
        <v>28.8</v>
      </c>
      <c r="F1153" s="2">
        <v>2592</v>
      </c>
      <c r="G1153" t="str">
        <f>_xlfn.XLOOKUP(C1153,products!A:A,products!B:B)</f>
        <v>Banana</v>
      </c>
      <c r="H1153" t="str">
        <f>_xlfn.XLOOKUP(D1153,stores!A:A,stores!B:B)</f>
        <v>Ohrid</v>
      </c>
      <c r="I1153" t="str">
        <f t="shared" si="34"/>
        <v>NORMAL</v>
      </c>
      <c r="J1153" s="4" t="str">
        <f t="shared" si="35"/>
        <v>9</v>
      </c>
    </row>
    <row r="1154" spans="1:10">
      <c r="A1154" s="2">
        <v>1153</v>
      </c>
      <c r="B1154" s="3">
        <v>46286</v>
      </c>
      <c r="C1154" s="2">
        <v>3</v>
      </c>
      <c r="D1154" s="2">
        <v>1</v>
      </c>
      <c r="E1154" s="2">
        <v>13</v>
      </c>
      <c r="F1154" s="2">
        <v>1040</v>
      </c>
      <c r="G1154" t="str">
        <f>_xlfn.XLOOKUP(C1154,products!A:A,products!B:B)</f>
        <v>Orange</v>
      </c>
      <c r="H1154" t="str">
        <f>_xlfn.XLOOKUP(D1154,stores!A:A,stores!B:B)</f>
        <v>Bitola</v>
      </c>
      <c r="I1154" t="str">
        <f t="shared" ref="I1154:I1217" si="36">IF(E1154&gt;50,"BIG","NORMAL")</f>
        <v>NORMAL</v>
      </c>
      <c r="J1154" s="4" t="str">
        <f t="shared" ref="J1154:J1217" si="37">TEXT(B1154,"m")</f>
        <v>9</v>
      </c>
    </row>
    <row r="1155" spans="1:10">
      <c r="A1155" s="2">
        <v>1154</v>
      </c>
      <c r="B1155" s="3">
        <v>46286</v>
      </c>
      <c r="C1155" s="2">
        <v>3</v>
      </c>
      <c r="D1155" s="2">
        <v>2</v>
      </c>
      <c r="E1155" s="2">
        <v>10.8</v>
      </c>
      <c r="F1155" s="2">
        <v>864</v>
      </c>
      <c r="G1155" t="str">
        <f>_xlfn.XLOOKUP(C1155,products!A:A,products!B:B)</f>
        <v>Orange</v>
      </c>
      <c r="H1155" t="str">
        <f>_xlfn.XLOOKUP(D1155,stores!A:A,stores!B:B)</f>
        <v>Ohrid</v>
      </c>
      <c r="I1155" t="str">
        <f t="shared" si="36"/>
        <v>NORMAL</v>
      </c>
      <c r="J1155" s="4" t="str">
        <f t="shared" si="37"/>
        <v>9</v>
      </c>
    </row>
    <row r="1156" spans="1:10">
      <c r="A1156" s="2">
        <v>1155</v>
      </c>
      <c r="B1156" s="3">
        <v>46286</v>
      </c>
      <c r="C1156" s="2">
        <v>4</v>
      </c>
      <c r="D1156" s="2">
        <v>1</v>
      </c>
      <c r="E1156" s="2">
        <v>26.4</v>
      </c>
      <c r="F1156" s="2">
        <v>660</v>
      </c>
      <c r="G1156" t="str">
        <f>_xlfn.XLOOKUP(C1156,products!A:A,products!B:B)</f>
        <v>Watermelon</v>
      </c>
      <c r="H1156" t="str">
        <f>_xlfn.XLOOKUP(D1156,stores!A:A,stores!B:B)</f>
        <v>Bitola</v>
      </c>
      <c r="I1156" t="str">
        <f t="shared" si="36"/>
        <v>NORMAL</v>
      </c>
      <c r="J1156" s="4" t="str">
        <f t="shared" si="37"/>
        <v>9</v>
      </c>
    </row>
    <row r="1157" spans="1:10">
      <c r="A1157" s="2">
        <v>1156</v>
      </c>
      <c r="B1157" s="3">
        <v>46286</v>
      </c>
      <c r="C1157" s="2">
        <v>4</v>
      </c>
      <c r="D1157" s="2">
        <v>2</v>
      </c>
      <c r="E1157" s="2">
        <v>21.7</v>
      </c>
      <c r="F1157" s="2">
        <v>542</v>
      </c>
      <c r="G1157" t="str">
        <f>_xlfn.XLOOKUP(C1157,products!A:A,products!B:B)</f>
        <v>Watermelon</v>
      </c>
      <c r="H1157" t="str">
        <f>_xlfn.XLOOKUP(D1157,stores!A:A,stores!B:B)</f>
        <v>Ohrid</v>
      </c>
      <c r="I1157" t="str">
        <f t="shared" si="36"/>
        <v>NORMAL</v>
      </c>
      <c r="J1157" s="4" t="str">
        <f t="shared" si="37"/>
        <v>9</v>
      </c>
    </row>
    <row r="1158" spans="1:10">
      <c r="A1158" s="2">
        <v>1157</v>
      </c>
      <c r="B1158" s="3">
        <v>46286</v>
      </c>
      <c r="C1158" s="2">
        <v>5</v>
      </c>
      <c r="D1158" s="2">
        <v>1</v>
      </c>
      <c r="E1158" s="2">
        <v>23.8</v>
      </c>
      <c r="F1158" s="2">
        <v>2618</v>
      </c>
      <c r="G1158" t="str">
        <f>_xlfn.XLOOKUP(C1158,products!A:A,products!B:B)</f>
        <v>Grapes</v>
      </c>
      <c r="H1158" t="str">
        <f>_xlfn.XLOOKUP(D1158,stores!A:A,stores!B:B)</f>
        <v>Bitola</v>
      </c>
      <c r="I1158" t="str">
        <f t="shared" si="36"/>
        <v>NORMAL</v>
      </c>
      <c r="J1158" s="4" t="str">
        <f t="shared" si="37"/>
        <v>9</v>
      </c>
    </row>
    <row r="1159" spans="1:10">
      <c r="A1159" s="2">
        <v>1158</v>
      </c>
      <c r="B1159" s="3">
        <v>46286</v>
      </c>
      <c r="C1159" s="2">
        <v>5</v>
      </c>
      <c r="D1159" s="2">
        <v>2</v>
      </c>
      <c r="E1159" s="2">
        <v>26.6</v>
      </c>
      <c r="F1159" s="2">
        <v>2926</v>
      </c>
      <c r="G1159" t="str">
        <f>_xlfn.XLOOKUP(C1159,products!A:A,products!B:B)</f>
        <v>Grapes</v>
      </c>
      <c r="H1159" t="str">
        <f>_xlfn.XLOOKUP(D1159,stores!A:A,stores!B:B)</f>
        <v>Ohrid</v>
      </c>
      <c r="I1159" t="str">
        <f t="shared" si="36"/>
        <v>NORMAL</v>
      </c>
      <c r="J1159" s="4" t="str">
        <f t="shared" si="37"/>
        <v>9</v>
      </c>
    </row>
    <row r="1160" spans="1:10">
      <c r="A1160" s="2">
        <v>1159</v>
      </c>
      <c r="B1160" s="3">
        <v>46286</v>
      </c>
      <c r="C1160" s="2">
        <v>6</v>
      </c>
      <c r="D1160" s="2">
        <v>1</v>
      </c>
      <c r="E1160" s="2">
        <v>2</v>
      </c>
      <c r="F1160" s="2">
        <v>440</v>
      </c>
      <c r="G1160" t="str">
        <f>_xlfn.XLOOKUP(C1160,products!A:A,products!B:B)</f>
        <v>Strawberry</v>
      </c>
      <c r="H1160" t="str">
        <f>_xlfn.XLOOKUP(D1160,stores!A:A,stores!B:B)</f>
        <v>Bitola</v>
      </c>
      <c r="I1160" t="str">
        <f t="shared" si="36"/>
        <v>NORMAL</v>
      </c>
      <c r="J1160" s="4" t="str">
        <f t="shared" si="37"/>
        <v>9</v>
      </c>
    </row>
    <row r="1161" spans="1:10">
      <c r="A1161" s="2">
        <v>1160</v>
      </c>
      <c r="B1161" s="3">
        <v>46286</v>
      </c>
      <c r="C1161" s="2">
        <v>6</v>
      </c>
      <c r="D1161" s="2">
        <v>2</v>
      </c>
      <c r="E1161" s="2">
        <v>1.6</v>
      </c>
      <c r="F1161" s="2">
        <v>352</v>
      </c>
      <c r="G1161" t="str">
        <f>_xlfn.XLOOKUP(C1161,products!A:A,products!B:B)</f>
        <v>Strawberry</v>
      </c>
      <c r="H1161" t="str">
        <f>_xlfn.XLOOKUP(D1161,stores!A:A,stores!B:B)</f>
        <v>Ohrid</v>
      </c>
      <c r="I1161" t="str">
        <f t="shared" si="36"/>
        <v>NORMAL</v>
      </c>
      <c r="J1161" s="4" t="str">
        <f t="shared" si="37"/>
        <v>9</v>
      </c>
    </row>
    <row r="1162" spans="1:10">
      <c r="A1162" s="2">
        <v>1161</v>
      </c>
      <c r="B1162" s="3">
        <v>46286</v>
      </c>
      <c r="C1162" s="2">
        <v>7</v>
      </c>
      <c r="D1162" s="2">
        <v>1</v>
      </c>
      <c r="E1162" s="2">
        <v>8.5</v>
      </c>
      <c r="F1162" s="2">
        <v>808</v>
      </c>
      <c r="G1162" t="str">
        <f>_xlfn.XLOOKUP(C1162,products!A:A,products!B:B)</f>
        <v>Peach</v>
      </c>
      <c r="H1162" t="str">
        <f>_xlfn.XLOOKUP(D1162,stores!A:A,stores!B:B)</f>
        <v>Bitola</v>
      </c>
      <c r="I1162" t="str">
        <f t="shared" si="36"/>
        <v>NORMAL</v>
      </c>
      <c r="J1162" s="4" t="str">
        <f t="shared" si="37"/>
        <v>9</v>
      </c>
    </row>
    <row r="1163" spans="1:10">
      <c r="A1163" s="2">
        <v>1162</v>
      </c>
      <c r="B1163" s="3">
        <v>46286</v>
      </c>
      <c r="C1163" s="2">
        <v>7</v>
      </c>
      <c r="D1163" s="2">
        <v>2</v>
      </c>
      <c r="E1163" s="2">
        <v>9.6</v>
      </c>
      <c r="F1163" s="2">
        <v>912</v>
      </c>
      <c r="G1163" t="str">
        <f>_xlfn.XLOOKUP(C1163,products!A:A,products!B:B)</f>
        <v>Peach</v>
      </c>
      <c r="H1163" t="str">
        <f>_xlfn.XLOOKUP(D1163,stores!A:A,stores!B:B)</f>
        <v>Ohrid</v>
      </c>
      <c r="I1163" t="str">
        <f t="shared" si="36"/>
        <v>NORMAL</v>
      </c>
      <c r="J1163" s="4" t="str">
        <f t="shared" si="37"/>
        <v>9</v>
      </c>
    </row>
    <row r="1164" spans="1:10">
      <c r="A1164" s="2">
        <v>1163</v>
      </c>
      <c r="B1164" s="3">
        <v>46287</v>
      </c>
      <c r="C1164" s="2">
        <v>1</v>
      </c>
      <c r="D1164" s="2">
        <v>1</v>
      </c>
      <c r="E1164" s="2">
        <v>28.8</v>
      </c>
      <c r="F1164" s="2">
        <v>1728</v>
      </c>
      <c r="G1164" t="str">
        <f>_xlfn.XLOOKUP(C1164,products!A:A,products!B:B)</f>
        <v>Apple</v>
      </c>
      <c r="H1164" t="str">
        <f>_xlfn.XLOOKUP(D1164,stores!A:A,stores!B:B)</f>
        <v>Bitola</v>
      </c>
      <c r="I1164" t="str">
        <f t="shared" si="36"/>
        <v>NORMAL</v>
      </c>
      <c r="J1164" s="4" t="str">
        <f t="shared" si="37"/>
        <v>9</v>
      </c>
    </row>
    <row r="1165" spans="1:10">
      <c r="A1165" s="2">
        <v>1164</v>
      </c>
      <c r="B1165" s="3">
        <v>46287</v>
      </c>
      <c r="C1165" s="2">
        <v>1</v>
      </c>
      <c r="D1165" s="2">
        <v>2</v>
      </c>
      <c r="E1165" s="2">
        <v>22.8</v>
      </c>
      <c r="F1165" s="2">
        <v>1368</v>
      </c>
      <c r="G1165" t="str">
        <f>_xlfn.XLOOKUP(C1165,products!A:A,products!B:B)</f>
        <v>Apple</v>
      </c>
      <c r="H1165" t="str">
        <f>_xlfn.XLOOKUP(D1165,stores!A:A,stores!B:B)</f>
        <v>Ohrid</v>
      </c>
      <c r="I1165" t="str">
        <f t="shared" si="36"/>
        <v>NORMAL</v>
      </c>
      <c r="J1165" s="4" t="str">
        <f t="shared" si="37"/>
        <v>9</v>
      </c>
    </row>
    <row r="1166" spans="1:10">
      <c r="A1166" s="2">
        <v>1165</v>
      </c>
      <c r="B1166" s="3">
        <v>46287</v>
      </c>
      <c r="C1166" s="2">
        <v>2</v>
      </c>
      <c r="D1166" s="2">
        <v>1</v>
      </c>
      <c r="E1166" s="2">
        <v>25.2</v>
      </c>
      <c r="F1166" s="2">
        <v>2268</v>
      </c>
      <c r="G1166" t="str">
        <f>_xlfn.XLOOKUP(C1166,products!A:A,products!B:B)</f>
        <v>Banana</v>
      </c>
      <c r="H1166" t="str">
        <f>_xlfn.XLOOKUP(D1166,stores!A:A,stores!B:B)</f>
        <v>Bitola</v>
      </c>
      <c r="I1166" t="str">
        <f t="shared" si="36"/>
        <v>NORMAL</v>
      </c>
      <c r="J1166" s="4" t="str">
        <f t="shared" si="37"/>
        <v>9</v>
      </c>
    </row>
    <row r="1167" spans="1:10">
      <c r="A1167" s="2">
        <v>1166</v>
      </c>
      <c r="B1167" s="3">
        <v>46287</v>
      </c>
      <c r="C1167" s="2">
        <v>2</v>
      </c>
      <c r="D1167" s="2">
        <v>2</v>
      </c>
      <c r="E1167" s="2">
        <v>22.2</v>
      </c>
      <c r="F1167" s="2">
        <v>1998</v>
      </c>
      <c r="G1167" t="str">
        <f>_xlfn.XLOOKUP(C1167,products!A:A,products!B:B)</f>
        <v>Banana</v>
      </c>
      <c r="H1167" t="str">
        <f>_xlfn.XLOOKUP(D1167,stores!A:A,stores!B:B)</f>
        <v>Ohrid</v>
      </c>
      <c r="I1167" t="str">
        <f t="shared" si="36"/>
        <v>NORMAL</v>
      </c>
      <c r="J1167" s="4" t="str">
        <f t="shared" si="37"/>
        <v>9</v>
      </c>
    </row>
    <row r="1168" spans="1:10">
      <c r="A1168" s="2">
        <v>1167</v>
      </c>
      <c r="B1168" s="3">
        <v>46287</v>
      </c>
      <c r="C1168" s="2">
        <v>3</v>
      </c>
      <c r="D1168" s="2">
        <v>1</v>
      </c>
      <c r="E1168" s="2">
        <v>11</v>
      </c>
      <c r="F1168" s="2">
        <v>880</v>
      </c>
      <c r="G1168" t="str">
        <f>_xlfn.XLOOKUP(C1168,products!A:A,products!B:B)</f>
        <v>Orange</v>
      </c>
      <c r="H1168" t="str">
        <f>_xlfn.XLOOKUP(D1168,stores!A:A,stores!B:B)</f>
        <v>Bitola</v>
      </c>
      <c r="I1168" t="str">
        <f t="shared" si="36"/>
        <v>NORMAL</v>
      </c>
      <c r="J1168" s="4" t="str">
        <f t="shared" si="37"/>
        <v>9</v>
      </c>
    </row>
    <row r="1169" spans="1:10">
      <c r="A1169" s="2">
        <v>1168</v>
      </c>
      <c r="B1169" s="3">
        <v>46287</v>
      </c>
      <c r="C1169" s="2">
        <v>3</v>
      </c>
      <c r="D1169" s="2">
        <v>2</v>
      </c>
      <c r="E1169" s="2">
        <v>14.7</v>
      </c>
      <c r="F1169" s="2">
        <v>1176</v>
      </c>
      <c r="G1169" t="str">
        <f>_xlfn.XLOOKUP(C1169,products!A:A,products!B:B)</f>
        <v>Orange</v>
      </c>
      <c r="H1169" t="str">
        <f>_xlfn.XLOOKUP(D1169,stores!A:A,stores!B:B)</f>
        <v>Ohrid</v>
      </c>
      <c r="I1169" t="str">
        <f t="shared" si="36"/>
        <v>NORMAL</v>
      </c>
      <c r="J1169" s="4" t="str">
        <f t="shared" si="37"/>
        <v>9</v>
      </c>
    </row>
    <row r="1170" spans="1:10">
      <c r="A1170" s="2">
        <v>1169</v>
      </c>
      <c r="B1170" s="3">
        <v>46287</v>
      </c>
      <c r="C1170" s="2">
        <v>4</v>
      </c>
      <c r="D1170" s="2">
        <v>1</v>
      </c>
      <c r="E1170" s="2">
        <v>35.1</v>
      </c>
      <c r="F1170" s="2">
        <v>878</v>
      </c>
      <c r="G1170" t="str">
        <f>_xlfn.XLOOKUP(C1170,products!A:A,products!B:B)</f>
        <v>Watermelon</v>
      </c>
      <c r="H1170" t="str">
        <f>_xlfn.XLOOKUP(D1170,stores!A:A,stores!B:B)</f>
        <v>Bitola</v>
      </c>
      <c r="I1170" t="str">
        <f t="shared" si="36"/>
        <v>NORMAL</v>
      </c>
      <c r="J1170" s="4" t="str">
        <f t="shared" si="37"/>
        <v>9</v>
      </c>
    </row>
    <row r="1171" spans="1:10">
      <c r="A1171" s="2">
        <v>1170</v>
      </c>
      <c r="B1171" s="3">
        <v>46287</v>
      </c>
      <c r="C1171" s="2">
        <v>4</v>
      </c>
      <c r="D1171" s="2">
        <v>2</v>
      </c>
      <c r="E1171" s="2">
        <v>27.2</v>
      </c>
      <c r="F1171" s="2">
        <v>680</v>
      </c>
      <c r="G1171" t="str">
        <f>_xlfn.XLOOKUP(C1171,products!A:A,products!B:B)</f>
        <v>Watermelon</v>
      </c>
      <c r="H1171" t="str">
        <f>_xlfn.XLOOKUP(D1171,stores!A:A,stores!B:B)</f>
        <v>Ohrid</v>
      </c>
      <c r="I1171" t="str">
        <f t="shared" si="36"/>
        <v>NORMAL</v>
      </c>
      <c r="J1171" s="4" t="str">
        <f t="shared" si="37"/>
        <v>9</v>
      </c>
    </row>
    <row r="1172" spans="1:10">
      <c r="A1172" s="2">
        <v>1171</v>
      </c>
      <c r="B1172" s="3">
        <v>46287</v>
      </c>
      <c r="C1172" s="2">
        <v>5</v>
      </c>
      <c r="D1172" s="2">
        <v>1</v>
      </c>
      <c r="E1172" s="2">
        <v>28.7</v>
      </c>
      <c r="F1172" s="2">
        <v>3157</v>
      </c>
      <c r="G1172" t="str">
        <f>_xlfn.XLOOKUP(C1172,products!A:A,products!B:B)</f>
        <v>Grapes</v>
      </c>
      <c r="H1172" t="str">
        <f>_xlfn.XLOOKUP(D1172,stores!A:A,stores!B:B)</f>
        <v>Bitola</v>
      </c>
      <c r="I1172" t="str">
        <f t="shared" si="36"/>
        <v>NORMAL</v>
      </c>
      <c r="J1172" s="4" t="str">
        <f t="shared" si="37"/>
        <v>9</v>
      </c>
    </row>
    <row r="1173" spans="1:10">
      <c r="A1173" s="2">
        <v>1172</v>
      </c>
      <c r="B1173" s="3">
        <v>46287</v>
      </c>
      <c r="C1173" s="2">
        <v>5</v>
      </c>
      <c r="D1173" s="2">
        <v>2</v>
      </c>
      <c r="E1173" s="2">
        <v>27.9</v>
      </c>
      <c r="F1173" s="2">
        <v>3069</v>
      </c>
      <c r="G1173" t="str">
        <f>_xlfn.XLOOKUP(C1173,products!A:A,products!B:B)</f>
        <v>Grapes</v>
      </c>
      <c r="H1173" t="str">
        <f>_xlfn.XLOOKUP(D1173,stores!A:A,stores!B:B)</f>
        <v>Ohrid</v>
      </c>
      <c r="I1173" t="str">
        <f t="shared" si="36"/>
        <v>NORMAL</v>
      </c>
      <c r="J1173" s="4" t="str">
        <f t="shared" si="37"/>
        <v>9</v>
      </c>
    </row>
    <row r="1174" spans="1:10">
      <c r="A1174" s="2">
        <v>1173</v>
      </c>
      <c r="B1174" s="3">
        <v>46287</v>
      </c>
      <c r="C1174" s="2">
        <v>6</v>
      </c>
      <c r="D1174" s="2">
        <v>1</v>
      </c>
      <c r="E1174" s="2">
        <v>2</v>
      </c>
      <c r="F1174" s="2">
        <v>440</v>
      </c>
      <c r="G1174" t="str">
        <f>_xlfn.XLOOKUP(C1174,products!A:A,products!B:B)</f>
        <v>Strawberry</v>
      </c>
      <c r="H1174" t="str">
        <f>_xlfn.XLOOKUP(D1174,stores!A:A,stores!B:B)</f>
        <v>Bitola</v>
      </c>
      <c r="I1174" t="str">
        <f t="shared" si="36"/>
        <v>NORMAL</v>
      </c>
      <c r="J1174" s="4" t="str">
        <f t="shared" si="37"/>
        <v>9</v>
      </c>
    </row>
    <row r="1175" spans="1:10">
      <c r="A1175" s="2">
        <v>1174</v>
      </c>
      <c r="B1175" s="3">
        <v>46287</v>
      </c>
      <c r="C1175" s="2">
        <v>6</v>
      </c>
      <c r="D1175" s="2">
        <v>2</v>
      </c>
      <c r="E1175" s="2">
        <v>2.1</v>
      </c>
      <c r="F1175" s="2">
        <v>462</v>
      </c>
      <c r="G1175" t="str">
        <f>_xlfn.XLOOKUP(C1175,products!A:A,products!B:B)</f>
        <v>Strawberry</v>
      </c>
      <c r="H1175" t="str">
        <f>_xlfn.XLOOKUP(D1175,stores!A:A,stores!B:B)</f>
        <v>Ohrid</v>
      </c>
      <c r="I1175" t="str">
        <f t="shared" si="36"/>
        <v>NORMAL</v>
      </c>
      <c r="J1175" s="4" t="str">
        <f t="shared" si="37"/>
        <v>9</v>
      </c>
    </row>
    <row r="1176" spans="1:10">
      <c r="A1176" s="2">
        <v>1175</v>
      </c>
      <c r="B1176" s="3">
        <v>46287</v>
      </c>
      <c r="C1176" s="2">
        <v>7</v>
      </c>
      <c r="D1176" s="2">
        <v>1</v>
      </c>
      <c r="E1176" s="2">
        <v>13.3</v>
      </c>
      <c r="F1176" s="2">
        <v>1264</v>
      </c>
      <c r="G1176" t="str">
        <f>_xlfn.XLOOKUP(C1176,products!A:A,products!B:B)</f>
        <v>Peach</v>
      </c>
      <c r="H1176" t="str">
        <f>_xlfn.XLOOKUP(D1176,stores!A:A,stores!B:B)</f>
        <v>Bitola</v>
      </c>
      <c r="I1176" t="str">
        <f t="shared" si="36"/>
        <v>NORMAL</v>
      </c>
      <c r="J1176" s="4" t="str">
        <f t="shared" si="37"/>
        <v>9</v>
      </c>
    </row>
    <row r="1177" spans="1:10">
      <c r="A1177" s="2">
        <v>1176</v>
      </c>
      <c r="B1177" s="3">
        <v>46287</v>
      </c>
      <c r="C1177" s="2">
        <v>7</v>
      </c>
      <c r="D1177" s="2">
        <v>2</v>
      </c>
      <c r="E1177" s="2">
        <v>9.1</v>
      </c>
      <c r="F1177" s="2">
        <v>864</v>
      </c>
      <c r="G1177" t="str">
        <f>_xlfn.XLOOKUP(C1177,products!A:A,products!B:B)</f>
        <v>Peach</v>
      </c>
      <c r="H1177" t="str">
        <f>_xlfn.XLOOKUP(D1177,stores!A:A,stores!B:B)</f>
        <v>Ohrid</v>
      </c>
      <c r="I1177" t="str">
        <f t="shared" si="36"/>
        <v>NORMAL</v>
      </c>
      <c r="J1177" s="4" t="str">
        <f t="shared" si="37"/>
        <v>9</v>
      </c>
    </row>
    <row r="1178" spans="1:10">
      <c r="A1178" s="2">
        <v>1177</v>
      </c>
      <c r="B1178" s="3">
        <v>46288</v>
      </c>
      <c r="C1178" s="2">
        <v>1</v>
      </c>
      <c r="D1178" s="2">
        <v>1</v>
      </c>
      <c r="E1178" s="2">
        <v>34.8</v>
      </c>
      <c r="F1178" s="2">
        <v>2088</v>
      </c>
      <c r="G1178" t="str">
        <f>_xlfn.XLOOKUP(C1178,products!A:A,products!B:B)</f>
        <v>Apple</v>
      </c>
      <c r="H1178" t="str">
        <f>_xlfn.XLOOKUP(D1178,stores!A:A,stores!B:B)</f>
        <v>Bitola</v>
      </c>
      <c r="I1178" t="str">
        <f t="shared" si="36"/>
        <v>NORMAL</v>
      </c>
      <c r="J1178" s="4" t="str">
        <f t="shared" si="37"/>
        <v>9</v>
      </c>
    </row>
    <row r="1179" spans="1:10">
      <c r="A1179" s="2">
        <v>1178</v>
      </c>
      <c r="B1179" s="3">
        <v>46288</v>
      </c>
      <c r="C1179" s="2">
        <v>1</v>
      </c>
      <c r="D1179" s="2">
        <v>2</v>
      </c>
      <c r="E1179" s="2">
        <v>33.8</v>
      </c>
      <c r="F1179" s="2">
        <v>2028</v>
      </c>
      <c r="G1179" t="str">
        <f>_xlfn.XLOOKUP(C1179,products!A:A,products!B:B)</f>
        <v>Apple</v>
      </c>
      <c r="H1179" t="str">
        <f>_xlfn.XLOOKUP(D1179,stores!A:A,stores!B:B)</f>
        <v>Ohrid</v>
      </c>
      <c r="I1179" t="str">
        <f t="shared" si="36"/>
        <v>NORMAL</v>
      </c>
      <c r="J1179" s="4" t="str">
        <f t="shared" si="37"/>
        <v>9</v>
      </c>
    </row>
    <row r="1180" spans="1:10">
      <c r="A1180" s="2">
        <v>1179</v>
      </c>
      <c r="B1180" s="3">
        <v>46288</v>
      </c>
      <c r="C1180" s="2">
        <v>2</v>
      </c>
      <c r="D1180" s="2">
        <v>1</v>
      </c>
      <c r="E1180" s="2">
        <v>24.2</v>
      </c>
      <c r="F1180" s="2">
        <v>2178</v>
      </c>
      <c r="G1180" t="str">
        <f>_xlfn.XLOOKUP(C1180,products!A:A,products!B:B)</f>
        <v>Banana</v>
      </c>
      <c r="H1180" t="str">
        <f>_xlfn.XLOOKUP(D1180,stores!A:A,stores!B:B)</f>
        <v>Bitola</v>
      </c>
      <c r="I1180" t="str">
        <f t="shared" si="36"/>
        <v>NORMAL</v>
      </c>
      <c r="J1180" s="4" t="str">
        <f t="shared" si="37"/>
        <v>9</v>
      </c>
    </row>
    <row r="1181" spans="1:10">
      <c r="A1181" s="2">
        <v>1180</v>
      </c>
      <c r="B1181" s="3">
        <v>46288</v>
      </c>
      <c r="C1181" s="2">
        <v>2</v>
      </c>
      <c r="D1181" s="2">
        <v>2</v>
      </c>
      <c r="E1181" s="2">
        <v>18.1</v>
      </c>
      <c r="F1181" s="2">
        <v>1629</v>
      </c>
      <c r="G1181" t="str">
        <f>_xlfn.XLOOKUP(C1181,products!A:A,products!B:B)</f>
        <v>Banana</v>
      </c>
      <c r="H1181" t="str">
        <f>_xlfn.XLOOKUP(D1181,stores!A:A,stores!B:B)</f>
        <v>Ohrid</v>
      </c>
      <c r="I1181" t="str">
        <f t="shared" si="36"/>
        <v>NORMAL</v>
      </c>
      <c r="J1181" s="4" t="str">
        <f t="shared" si="37"/>
        <v>9</v>
      </c>
    </row>
    <row r="1182" spans="1:10">
      <c r="A1182" s="2">
        <v>1181</v>
      </c>
      <c r="B1182" s="3">
        <v>46288</v>
      </c>
      <c r="C1182" s="2">
        <v>3</v>
      </c>
      <c r="D1182" s="2">
        <v>1</v>
      </c>
      <c r="E1182" s="2">
        <v>16.5</v>
      </c>
      <c r="F1182" s="2">
        <v>1320</v>
      </c>
      <c r="G1182" t="str">
        <f>_xlfn.XLOOKUP(C1182,products!A:A,products!B:B)</f>
        <v>Orange</v>
      </c>
      <c r="H1182" t="str">
        <f>_xlfn.XLOOKUP(D1182,stores!A:A,stores!B:B)</f>
        <v>Bitola</v>
      </c>
      <c r="I1182" t="str">
        <f t="shared" si="36"/>
        <v>NORMAL</v>
      </c>
      <c r="J1182" s="4" t="str">
        <f t="shared" si="37"/>
        <v>9</v>
      </c>
    </row>
    <row r="1183" spans="1:10">
      <c r="A1183" s="2">
        <v>1182</v>
      </c>
      <c r="B1183" s="3">
        <v>46288</v>
      </c>
      <c r="C1183" s="2">
        <v>3</v>
      </c>
      <c r="D1183" s="2">
        <v>2</v>
      </c>
      <c r="E1183" s="2">
        <v>8.6</v>
      </c>
      <c r="F1183" s="2">
        <v>688</v>
      </c>
      <c r="G1183" t="str">
        <f>_xlfn.XLOOKUP(C1183,products!A:A,products!B:B)</f>
        <v>Orange</v>
      </c>
      <c r="H1183" t="str">
        <f>_xlfn.XLOOKUP(D1183,stores!A:A,stores!B:B)</f>
        <v>Ohrid</v>
      </c>
      <c r="I1183" t="str">
        <f t="shared" si="36"/>
        <v>NORMAL</v>
      </c>
      <c r="J1183" s="4" t="str">
        <f t="shared" si="37"/>
        <v>9</v>
      </c>
    </row>
    <row r="1184" spans="1:10">
      <c r="A1184" s="2">
        <v>1183</v>
      </c>
      <c r="B1184" s="3">
        <v>46288</v>
      </c>
      <c r="C1184" s="2">
        <v>4</v>
      </c>
      <c r="D1184" s="2">
        <v>1</v>
      </c>
      <c r="E1184" s="2">
        <v>40.7</v>
      </c>
      <c r="F1184" s="2">
        <v>1018</v>
      </c>
      <c r="G1184" t="str">
        <f>_xlfn.XLOOKUP(C1184,products!A:A,products!B:B)</f>
        <v>Watermelon</v>
      </c>
      <c r="H1184" t="str">
        <f>_xlfn.XLOOKUP(D1184,stores!A:A,stores!B:B)</f>
        <v>Bitola</v>
      </c>
      <c r="I1184" t="str">
        <f t="shared" si="36"/>
        <v>NORMAL</v>
      </c>
      <c r="J1184" s="4" t="str">
        <f t="shared" si="37"/>
        <v>9</v>
      </c>
    </row>
    <row r="1185" spans="1:10">
      <c r="A1185" s="2">
        <v>1184</v>
      </c>
      <c r="B1185" s="3">
        <v>46288</v>
      </c>
      <c r="C1185" s="2">
        <v>4</v>
      </c>
      <c r="D1185" s="2">
        <v>2</v>
      </c>
      <c r="E1185" s="2">
        <v>31.7</v>
      </c>
      <c r="F1185" s="2">
        <v>792</v>
      </c>
      <c r="G1185" t="str">
        <f>_xlfn.XLOOKUP(C1185,products!A:A,products!B:B)</f>
        <v>Watermelon</v>
      </c>
      <c r="H1185" t="str">
        <f>_xlfn.XLOOKUP(D1185,stores!A:A,stores!B:B)</f>
        <v>Ohrid</v>
      </c>
      <c r="I1185" t="str">
        <f t="shared" si="36"/>
        <v>NORMAL</v>
      </c>
      <c r="J1185" s="4" t="str">
        <f t="shared" si="37"/>
        <v>9</v>
      </c>
    </row>
    <row r="1186" spans="1:10">
      <c r="A1186" s="2">
        <v>1185</v>
      </c>
      <c r="B1186" s="3">
        <v>46288</v>
      </c>
      <c r="C1186" s="2">
        <v>5</v>
      </c>
      <c r="D1186" s="2">
        <v>1</v>
      </c>
      <c r="E1186" s="2">
        <v>29.1</v>
      </c>
      <c r="F1186" s="2">
        <v>3201</v>
      </c>
      <c r="G1186" t="str">
        <f>_xlfn.XLOOKUP(C1186,products!A:A,products!B:B)</f>
        <v>Grapes</v>
      </c>
      <c r="H1186" t="str">
        <f>_xlfn.XLOOKUP(D1186,stores!A:A,stores!B:B)</f>
        <v>Bitola</v>
      </c>
      <c r="I1186" t="str">
        <f t="shared" si="36"/>
        <v>NORMAL</v>
      </c>
      <c r="J1186" s="4" t="str">
        <f t="shared" si="37"/>
        <v>9</v>
      </c>
    </row>
    <row r="1187" spans="1:10">
      <c r="A1187" s="2">
        <v>1186</v>
      </c>
      <c r="B1187" s="3">
        <v>46288</v>
      </c>
      <c r="C1187" s="2">
        <v>5</v>
      </c>
      <c r="D1187" s="2">
        <v>2</v>
      </c>
      <c r="E1187" s="2">
        <v>25.5</v>
      </c>
      <c r="F1187" s="2">
        <v>2805</v>
      </c>
      <c r="G1187" t="str">
        <f>_xlfn.XLOOKUP(C1187,products!A:A,products!B:B)</f>
        <v>Grapes</v>
      </c>
      <c r="H1187" t="str">
        <f>_xlfn.XLOOKUP(D1187,stores!A:A,stores!B:B)</f>
        <v>Ohrid</v>
      </c>
      <c r="I1187" t="str">
        <f t="shared" si="36"/>
        <v>NORMAL</v>
      </c>
      <c r="J1187" s="4" t="str">
        <f t="shared" si="37"/>
        <v>9</v>
      </c>
    </row>
    <row r="1188" spans="1:10">
      <c r="A1188" s="2">
        <v>1187</v>
      </c>
      <c r="B1188" s="3">
        <v>46288</v>
      </c>
      <c r="C1188" s="2">
        <v>6</v>
      </c>
      <c r="D1188" s="2">
        <v>1</v>
      </c>
      <c r="E1188" s="2">
        <v>2.7</v>
      </c>
      <c r="F1188" s="2">
        <v>594</v>
      </c>
      <c r="G1188" t="str">
        <f>_xlfn.XLOOKUP(C1188,products!A:A,products!B:B)</f>
        <v>Strawberry</v>
      </c>
      <c r="H1188" t="str">
        <f>_xlfn.XLOOKUP(D1188,stores!A:A,stores!B:B)</f>
        <v>Bitola</v>
      </c>
      <c r="I1188" t="str">
        <f t="shared" si="36"/>
        <v>NORMAL</v>
      </c>
      <c r="J1188" s="4" t="str">
        <f t="shared" si="37"/>
        <v>9</v>
      </c>
    </row>
    <row r="1189" spans="1:10">
      <c r="A1189" s="2">
        <v>1188</v>
      </c>
      <c r="B1189" s="3">
        <v>46288</v>
      </c>
      <c r="C1189" s="2">
        <v>6</v>
      </c>
      <c r="D1189" s="2">
        <v>2</v>
      </c>
      <c r="E1189" s="2">
        <v>1.5</v>
      </c>
      <c r="F1189" s="2">
        <v>330</v>
      </c>
      <c r="G1189" t="str">
        <f>_xlfn.XLOOKUP(C1189,products!A:A,products!B:B)</f>
        <v>Strawberry</v>
      </c>
      <c r="H1189" t="str">
        <f>_xlfn.XLOOKUP(D1189,stores!A:A,stores!B:B)</f>
        <v>Ohrid</v>
      </c>
      <c r="I1189" t="str">
        <f t="shared" si="36"/>
        <v>NORMAL</v>
      </c>
      <c r="J1189" s="4" t="str">
        <f t="shared" si="37"/>
        <v>9</v>
      </c>
    </row>
    <row r="1190" spans="1:10">
      <c r="A1190" s="2">
        <v>1189</v>
      </c>
      <c r="B1190" s="3">
        <v>46288</v>
      </c>
      <c r="C1190" s="2">
        <v>7</v>
      </c>
      <c r="D1190" s="2">
        <v>1</v>
      </c>
      <c r="E1190" s="2">
        <v>7.7</v>
      </c>
      <c r="F1190" s="2">
        <v>732</v>
      </c>
      <c r="G1190" t="str">
        <f>_xlfn.XLOOKUP(C1190,products!A:A,products!B:B)</f>
        <v>Peach</v>
      </c>
      <c r="H1190" t="str">
        <f>_xlfn.XLOOKUP(D1190,stores!A:A,stores!B:B)</f>
        <v>Bitola</v>
      </c>
      <c r="I1190" t="str">
        <f t="shared" si="36"/>
        <v>NORMAL</v>
      </c>
      <c r="J1190" s="4" t="str">
        <f t="shared" si="37"/>
        <v>9</v>
      </c>
    </row>
    <row r="1191" spans="1:10">
      <c r="A1191" s="2">
        <v>1190</v>
      </c>
      <c r="B1191" s="3">
        <v>46288</v>
      </c>
      <c r="C1191" s="2">
        <v>7</v>
      </c>
      <c r="D1191" s="2">
        <v>2</v>
      </c>
      <c r="E1191" s="2">
        <v>7.9</v>
      </c>
      <c r="F1191" s="2">
        <v>750</v>
      </c>
      <c r="G1191" t="str">
        <f>_xlfn.XLOOKUP(C1191,products!A:A,products!B:B)</f>
        <v>Peach</v>
      </c>
      <c r="H1191" t="str">
        <f>_xlfn.XLOOKUP(D1191,stores!A:A,stores!B:B)</f>
        <v>Ohrid</v>
      </c>
      <c r="I1191" t="str">
        <f t="shared" si="36"/>
        <v>NORMAL</v>
      </c>
      <c r="J1191" s="4" t="str">
        <f t="shared" si="37"/>
        <v>9</v>
      </c>
    </row>
    <row r="1192" spans="1:10">
      <c r="A1192" s="2">
        <v>1191</v>
      </c>
      <c r="B1192" s="3">
        <v>46289</v>
      </c>
      <c r="C1192" s="2">
        <v>1</v>
      </c>
      <c r="D1192" s="2">
        <v>1</v>
      </c>
      <c r="E1192" s="2">
        <v>30.3</v>
      </c>
      <c r="F1192" s="2">
        <v>1818</v>
      </c>
      <c r="G1192" t="str">
        <f>_xlfn.XLOOKUP(C1192,products!A:A,products!B:B)</f>
        <v>Apple</v>
      </c>
      <c r="H1192" t="str">
        <f>_xlfn.XLOOKUP(D1192,stores!A:A,stores!B:B)</f>
        <v>Bitola</v>
      </c>
      <c r="I1192" t="str">
        <f t="shared" si="36"/>
        <v>NORMAL</v>
      </c>
      <c r="J1192" s="4" t="str">
        <f t="shared" si="37"/>
        <v>9</v>
      </c>
    </row>
    <row r="1193" spans="1:10">
      <c r="A1193" s="2">
        <v>1192</v>
      </c>
      <c r="B1193" s="3">
        <v>46289</v>
      </c>
      <c r="C1193" s="2">
        <v>1</v>
      </c>
      <c r="D1193" s="2">
        <v>2</v>
      </c>
      <c r="E1193" s="2">
        <v>23</v>
      </c>
      <c r="F1193" s="2">
        <v>1380</v>
      </c>
      <c r="G1193" t="str">
        <f>_xlfn.XLOOKUP(C1193,products!A:A,products!B:B)</f>
        <v>Apple</v>
      </c>
      <c r="H1193" t="str">
        <f>_xlfn.XLOOKUP(D1193,stores!A:A,stores!B:B)</f>
        <v>Ohrid</v>
      </c>
      <c r="I1193" t="str">
        <f t="shared" si="36"/>
        <v>NORMAL</v>
      </c>
      <c r="J1193" s="4" t="str">
        <f t="shared" si="37"/>
        <v>9</v>
      </c>
    </row>
    <row r="1194" spans="1:10">
      <c r="A1194" s="2">
        <v>1193</v>
      </c>
      <c r="B1194" s="3">
        <v>46289</v>
      </c>
      <c r="C1194" s="2">
        <v>2</v>
      </c>
      <c r="D1194" s="2">
        <v>1</v>
      </c>
      <c r="E1194" s="2">
        <v>26.8</v>
      </c>
      <c r="F1194" s="2">
        <v>2412</v>
      </c>
      <c r="G1194" t="str">
        <f>_xlfn.XLOOKUP(C1194,products!A:A,products!B:B)</f>
        <v>Banana</v>
      </c>
      <c r="H1194" t="str">
        <f>_xlfn.XLOOKUP(D1194,stores!A:A,stores!B:B)</f>
        <v>Bitola</v>
      </c>
      <c r="I1194" t="str">
        <f t="shared" si="36"/>
        <v>NORMAL</v>
      </c>
      <c r="J1194" s="4" t="str">
        <f t="shared" si="37"/>
        <v>9</v>
      </c>
    </row>
    <row r="1195" spans="1:10">
      <c r="A1195" s="2">
        <v>1194</v>
      </c>
      <c r="B1195" s="3">
        <v>46289</v>
      </c>
      <c r="C1195" s="2">
        <v>2</v>
      </c>
      <c r="D1195" s="2">
        <v>2</v>
      </c>
      <c r="E1195" s="2">
        <v>24</v>
      </c>
      <c r="F1195" s="2">
        <v>2160</v>
      </c>
      <c r="G1195" t="str">
        <f>_xlfn.XLOOKUP(C1195,products!A:A,products!B:B)</f>
        <v>Banana</v>
      </c>
      <c r="H1195" t="str">
        <f>_xlfn.XLOOKUP(D1195,stores!A:A,stores!B:B)</f>
        <v>Ohrid</v>
      </c>
      <c r="I1195" t="str">
        <f t="shared" si="36"/>
        <v>NORMAL</v>
      </c>
      <c r="J1195" s="4" t="str">
        <f t="shared" si="37"/>
        <v>9</v>
      </c>
    </row>
    <row r="1196" spans="1:10">
      <c r="A1196" s="2">
        <v>1195</v>
      </c>
      <c r="B1196" s="3">
        <v>46289</v>
      </c>
      <c r="C1196" s="2">
        <v>3</v>
      </c>
      <c r="D1196" s="2">
        <v>1</v>
      </c>
      <c r="E1196" s="2">
        <v>11.7</v>
      </c>
      <c r="F1196" s="2">
        <v>936</v>
      </c>
      <c r="G1196" t="str">
        <f>_xlfn.XLOOKUP(C1196,products!A:A,products!B:B)</f>
        <v>Orange</v>
      </c>
      <c r="H1196" t="str">
        <f>_xlfn.XLOOKUP(D1196,stores!A:A,stores!B:B)</f>
        <v>Bitola</v>
      </c>
      <c r="I1196" t="str">
        <f t="shared" si="36"/>
        <v>NORMAL</v>
      </c>
      <c r="J1196" s="4" t="str">
        <f t="shared" si="37"/>
        <v>9</v>
      </c>
    </row>
    <row r="1197" spans="1:10">
      <c r="A1197" s="2">
        <v>1196</v>
      </c>
      <c r="B1197" s="3">
        <v>46289</v>
      </c>
      <c r="C1197" s="2">
        <v>3</v>
      </c>
      <c r="D1197" s="2">
        <v>2</v>
      </c>
      <c r="E1197" s="2">
        <v>16.6</v>
      </c>
      <c r="F1197" s="2">
        <v>1328</v>
      </c>
      <c r="G1197" t="str">
        <f>_xlfn.XLOOKUP(C1197,products!A:A,products!B:B)</f>
        <v>Orange</v>
      </c>
      <c r="H1197" t="str">
        <f>_xlfn.XLOOKUP(D1197,stores!A:A,stores!B:B)</f>
        <v>Ohrid</v>
      </c>
      <c r="I1197" t="str">
        <f t="shared" si="36"/>
        <v>NORMAL</v>
      </c>
      <c r="J1197" s="4" t="str">
        <f t="shared" si="37"/>
        <v>9</v>
      </c>
    </row>
    <row r="1198" spans="1:10">
      <c r="A1198" s="2">
        <v>1197</v>
      </c>
      <c r="B1198" s="3">
        <v>46289</v>
      </c>
      <c r="C1198" s="2">
        <v>4</v>
      </c>
      <c r="D1198" s="2">
        <v>1</v>
      </c>
      <c r="E1198" s="2">
        <v>21.6</v>
      </c>
      <c r="F1198" s="2">
        <v>540</v>
      </c>
      <c r="G1198" t="str">
        <f>_xlfn.XLOOKUP(C1198,products!A:A,products!B:B)</f>
        <v>Watermelon</v>
      </c>
      <c r="H1198" t="str">
        <f>_xlfn.XLOOKUP(D1198,stores!A:A,stores!B:B)</f>
        <v>Bitola</v>
      </c>
      <c r="I1198" t="str">
        <f t="shared" si="36"/>
        <v>NORMAL</v>
      </c>
      <c r="J1198" s="4" t="str">
        <f t="shared" si="37"/>
        <v>9</v>
      </c>
    </row>
    <row r="1199" spans="1:10">
      <c r="A1199" s="2">
        <v>1198</v>
      </c>
      <c r="B1199" s="3">
        <v>46289</v>
      </c>
      <c r="C1199" s="2">
        <v>4</v>
      </c>
      <c r="D1199" s="2">
        <v>2</v>
      </c>
      <c r="E1199" s="2">
        <v>20.1</v>
      </c>
      <c r="F1199" s="2">
        <v>503</v>
      </c>
      <c r="G1199" t="str">
        <f>_xlfn.XLOOKUP(C1199,products!A:A,products!B:B)</f>
        <v>Watermelon</v>
      </c>
      <c r="H1199" t="str">
        <f>_xlfn.XLOOKUP(D1199,stores!A:A,stores!B:B)</f>
        <v>Ohrid</v>
      </c>
      <c r="I1199" t="str">
        <f t="shared" si="36"/>
        <v>NORMAL</v>
      </c>
      <c r="J1199" s="4" t="str">
        <f t="shared" si="37"/>
        <v>9</v>
      </c>
    </row>
    <row r="1200" spans="1:10">
      <c r="A1200" s="2">
        <v>1199</v>
      </c>
      <c r="B1200" s="3">
        <v>46289</v>
      </c>
      <c r="C1200" s="2">
        <v>5</v>
      </c>
      <c r="D1200" s="2">
        <v>1</v>
      </c>
      <c r="E1200" s="2">
        <v>30.1</v>
      </c>
      <c r="F1200" s="2">
        <v>3311</v>
      </c>
      <c r="G1200" t="str">
        <f>_xlfn.XLOOKUP(C1200,products!A:A,products!B:B)</f>
        <v>Grapes</v>
      </c>
      <c r="H1200" t="str">
        <f>_xlfn.XLOOKUP(D1200,stores!A:A,stores!B:B)</f>
        <v>Bitola</v>
      </c>
      <c r="I1200" t="str">
        <f t="shared" si="36"/>
        <v>NORMAL</v>
      </c>
      <c r="J1200" s="4" t="str">
        <f t="shared" si="37"/>
        <v>9</v>
      </c>
    </row>
    <row r="1201" spans="1:10">
      <c r="A1201" s="2">
        <v>1200</v>
      </c>
      <c r="B1201" s="3">
        <v>46289</v>
      </c>
      <c r="C1201" s="2">
        <v>5</v>
      </c>
      <c r="D1201" s="2">
        <v>2</v>
      </c>
      <c r="E1201" s="2">
        <v>24.2</v>
      </c>
      <c r="F1201" s="2">
        <v>2662</v>
      </c>
      <c r="G1201" t="str">
        <f>_xlfn.XLOOKUP(C1201,products!A:A,products!B:B)</f>
        <v>Grapes</v>
      </c>
      <c r="H1201" t="str">
        <f>_xlfn.XLOOKUP(D1201,stores!A:A,stores!B:B)</f>
        <v>Ohrid</v>
      </c>
      <c r="I1201" t="str">
        <f t="shared" si="36"/>
        <v>NORMAL</v>
      </c>
      <c r="J1201" s="4" t="str">
        <f t="shared" si="37"/>
        <v>9</v>
      </c>
    </row>
    <row r="1202" spans="1:10">
      <c r="A1202" s="2">
        <v>1201</v>
      </c>
      <c r="B1202" s="3">
        <v>46289</v>
      </c>
      <c r="C1202" s="2">
        <v>6</v>
      </c>
      <c r="D1202" s="2">
        <v>1</v>
      </c>
      <c r="E1202" s="2">
        <v>2.2</v>
      </c>
      <c r="F1202" s="2">
        <v>484</v>
      </c>
      <c r="G1202" t="str">
        <f>_xlfn.XLOOKUP(C1202,products!A:A,products!B:B)</f>
        <v>Strawberry</v>
      </c>
      <c r="H1202" t="str">
        <f>_xlfn.XLOOKUP(D1202,stores!A:A,stores!B:B)</f>
        <v>Bitola</v>
      </c>
      <c r="I1202" t="str">
        <f t="shared" si="36"/>
        <v>NORMAL</v>
      </c>
      <c r="J1202" s="4" t="str">
        <f t="shared" si="37"/>
        <v>9</v>
      </c>
    </row>
    <row r="1203" spans="1:10">
      <c r="A1203" s="2">
        <v>1202</v>
      </c>
      <c r="B1203" s="3">
        <v>46289</v>
      </c>
      <c r="C1203" s="2">
        <v>6</v>
      </c>
      <c r="D1203" s="2">
        <v>2</v>
      </c>
      <c r="E1203" s="2">
        <v>1.6</v>
      </c>
      <c r="F1203" s="2">
        <v>352</v>
      </c>
      <c r="G1203" t="str">
        <f>_xlfn.XLOOKUP(C1203,products!A:A,products!B:B)</f>
        <v>Strawberry</v>
      </c>
      <c r="H1203" t="str">
        <f>_xlfn.XLOOKUP(D1203,stores!A:A,stores!B:B)</f>
        <v>Ohrid</v>
      </c>
      <c r="I1203" t="str">
        <f t="shared" si="36"/>
        <v>NORMAL</v>
      </c>
      <c r="J1203" s="4" t="str">
        <f t="shared" si="37"/>
        <v>9</v>
      </c>
    </row>
    <row r="1204" spans="1:10">
      <c r="A1204" s="2">
        <v>1203</v>
      </c>
      <c r="B1204" s="3">
        <v>46289</v>
      </c>
      <c r="C1204" s="2">
        <v>7</v>
      </c>
      <c r="D1204" s="2">
        <v>1</v>
      </c>
      <c r="E1204" s="2">
        <v>7.9</v>
      </c>
      <c r="F1204" s="2">
        <v>750</v>
      </c>
      <c r="G1204" t="str">
        <f>_xlfn.XLOOKUP(C1204,products!A:A,products!B:B)</f>
        <v>Peach</v>
      </c>
      <c r="H1204" t="str">
        <f>_xlfn.XLOOKUP(D1204,stores!A:A,stores!B:B)</f>
        <v>Bitola</v>
      </c>
      <c r="I1204" t="str">
        <f t="shared" si="36"/>
        <v>NORMAL</v>
      </c>
      <c r="J1204" s="4" t="str">
        <f t="shared" si="37"/>
        <v>9</v>
      </c>
    </row>
    <row r="1205" spans="1:10">
      <c r="A1205" s="2">
        <v>1204</v>
      </c>
      <c r="B1205" s="3">
        <v>46289</v>
      </c>
      <c r="C1205" s="2">
        <v>7</v>
      </c>
      <c r="D1205" s="2">
        <v>2</v>
      </c>
      <c r="E1205" s="2">
        <v>7.8</v>
      </c>
      <c r="F1205" s="2">
        <v>741</v>
      </c>
      <c r="G1205" t="str">
        <f>_xlfn.XLOOKUP(C1205,products!A:A,products!B:B)</f>
        <v>Peach</v>
      </c>
      <c r="H1205" t="str">
        <f>_xlfn.XLOOKUP(D1205,stores!A:A,stores!B:B)</f>
        <v>Ohrid</v>
      </c>
      <c r="I1205" t="str">
        <f t="shared" si="36"/>
        <v>NORMAL</v>
      </c>
      <c r="J1205" s="4" t="str">
        <f t="shared" si="37"/>
        <v>9</v>
      </c>
    </row>
    <row r="1206" spans="1:10">
      <c r="A1206" s="2">
        <v>1205</v>
      </c>
      <c r="B1206" s="3">
        <v>46290</v>
      </c>
      <c r="C1206" s="2">
        <v>1</v>
      </c>
      <c r="D1206" s="2">
        <v>1</v>
      </c>
      <c r="E1206" s="2">
        <v>27.6</v>
      </c>
      <c r="F1206" s="2">
        <v>1656</v>
      </c>
      <c r="G1206" t="str">
        <f>_xlfn.XLOOKUP(C1206,products!A:A,products!B:B)</f>
        <v>Apple</v>
      </c>
      <c r="H1206" t="str">
        <f>_xlfn.XLOOKUP(D1206,stores!A:A,stores!B:B)</f>
        <v>Bitola</v>
      </c>
      <c r="I1206" t="str">
        <f t="shared" si="36"/>
        <v>NORMAL</v>
      </c>
      <c r="J1206" s="4" t="str">
        <f t="shared" si="37"/>
        <v>9</v>
      </c>
    </row>
    <row r="1207" spans="1:10">
      <c r="A1207" s="2">
        <v>1206</v>
      </c>
      <c r="B1207" s="3">
        <v>46290</v>
      </c>
      <c r="C1207" s="2">
        <v>1</v>
      </c>
      <c r="D1207" s="2">
        <v>2</v>
      </c>
      <c r="E1207" s="2">
        <v>31.8</v>
      </c>
      <c r="F1207" s="2">
        <v>1908</v>
      </c>
      <c r="G1207" t="str">
        <f>_xlfn.XLOOKUP(C1207,products!A:A,products!B:B)</f>
        <v>Apple</v>
      </c>
      <c r="H1207" t="str">
        <f>_xlfn.XLOOKUP(D1207,stores!A:A,stores!B:B)</f>
        <v>Ohrid</v>
      </c>
      <c r="I1207" t="str">
        <f t="shared" si="36"/>
        <v>NORMAL</v>
      </c>
      <c r="J1207" s="4" t="str">
        <f t="shared" si="37"/>
        <v>9</v>
      </c>
    </row>
    <row r="1208" spans="1:10">
      <c r="A1208" s="2">
        <v>1207</v>
      </c>
      <c r="B1208" s="3">
        <v>46290</v>
      </c>
      <c r="C1208" s="2">
        <v>2</v>
      </c>
      <c r="D1208" s="2">
        <v>1</v>
      </c>
      <c r="E1208" s="2">
        <v>23.5</v>
      </c>
      <c r="F1208" s="2">
        <v>2115</v>
      </c>
      <c r="G1208" t="str">
        <f>_xlfn.XLOOKUP(C1208,products!A:A,products!B:B)</f>
        <v>Banana</v>
      </c>
      <c r="H1208" t="str">
        <f>_xlfn.XLOOKUP(D1208,stores!A:A,stores!B:B)</f>
        <v>Bitola</v>
      </c>
      <c r="I1208" t="str">
        <f t="shared" si="36"/>
        <v>NORMAL</v>
      </c>
      <c r="J1208" s="4" t="str">
        <f t="shared" si="37"/>
        <v>9</v>
      </c>
    </row>
    <row r="1209" spans="1:10">
      <c r="A1209" s="2">
        <v>1208</v>
      </c>
      <c r="B1209" s="3">
        <v>46290</v>
      </c>
      <c r="C1209" s="2">
        <v>2</v>
      </c>
      <c r="D1209" s="2">
        <v>2</v>
      </c>
      <c r="E1209" s="2">
        <v>27</v>
      </c>
      <c r="F1209" s="2">
        <v>2430</v>
      </c>
      <c r="G1209" t="str">
        <f>_xlfn.XLOOKUP(C1209,products!A:A,products!B:B)</f>
        <v>Banana</v>
      </c>
      <c r="H1209" t="str">
        <f>_xlfn.XLOOKUP(D1209,stores!A:A,stores!B:B)</f>
        <v>Ohrid</v>
      </c>
      <c r="I1209" t="str">
        <f t="shared" si="36"/>
        <v>NORMAL</v>
      </c>
      <c r="J1209" s="4" t="str">
        <f t="shared" si="37"/>
        <v>9</v>
      </c>
    </row>
    <row r="1210" spans="1:10">
      <c r="A1210" s="2">
        <v>1209</v>
      </c>
      <c r="B1210" s="3">
        <v>46290</v>
      </c>
      <c r="C1210" s="2">
        <v>3</v>
      </c>
      <c r="D1210" s="2">
        <v>1</v>
      </c>
      <c r="E1210" s="2">
        <v>15.6</v>
      </c>
      <c r="F1210" s="2">
        <v>1248</v>
      </c>
      <c r="G1210" t="str">
        <f>_xlfn.XLOOKUP(C1210,products!A:A,products!B:B)</f>
        <v>Orange</v>
      </c>
      <c r="H1210" t="str">
        <f>_xlfn.XLOOKUP(D1210,stores!A:A,stores!B:B)</f>
        <v>Bitola</v>
      </c>
      <c r="I1210" t="str">
        <f t="shared" si="36"/>
        <v>NORMAL</v>
      </c>
      <c r="J1210" s="4" t="str">
        <f t="shared" si="37"/>
        <v>9</v>
      </c>
    </row>
    <row r="1211" spans="1:10">
      <c r="A1211" s="2">
        <v>1210</v>
      </c>
      <c r="B1211" s="3">
        <v>46290</v>
      </c>
      <c r="C1211" s="2">
        <v>3</v>
      </c>
      <c r="D1211" s="2">
        <v>2</v>
      </c>
      <c r="E1211" s="2">
        <v>15.2</v>
      </c>
      <c r="F1211" s="2">
        <v>1216</v>
      </c>
      <c r="G1211" t="str">
        <f>_xlfn.XLOOKUP(C1211,products!A:A,products!B:B)</f>
        <v>Orange</v>
      </c>
      <c r="H1211" t="str">
        <f>_xlfn.XLOOKUP(D1211,stores!A:A,stores!B:B)</f>
        <v>Ohrid</v>
      </c>
      <c r="I1211" t="str">
        <f t="shared" si="36"/>
        <v>NORMAL</v>
      </c>
      <c r="J1211" s="4" t="str">
        <f t="shared" si="37"/>
        <v>9</v>
      </c>
    </row>
    <row r="1212" spans="1:10">
      <c r="A1212" s="2">
        <v>1211</v>
      </c>
      <c r="B1212" s="3">
        <v>46290</v>
      </c>
      <c r="C1212" s="2">
        <v>4</v>
      </c>
      <c r="D1212" s="2">
        <v>1</v>
      </c>
      <c r="E1212" s="2">
        <v>35.4</v>
      </c>
      <c r="F1212" s="2">
        <v>885</v>
      </c>
      <c r="G1212" t="str">
        <f>_xlfn.XLOOKUP(C1212,products!A:A,products!B:B)</f>
        <v>Watermelon</v>
      </c>
      <c r="H1212" t="str">
        <f>_xlfn.XLOOKUP(D1212,stores!A:A,stores!B:B)</f>
        <v>Bitola</v>
      </c>
      <c r="I1212" t="str">
        <f t="shared" si="36"/>
        <v>NORMAL</v>
      </c>
      <c r="J1212" s="4" t="str">
        <f t="shared" si="37"/>
        <v>9</v>
      </c>
    </row>
    <row r="1213" spans="1:10">
      <c r="A1213" s="2">
        <v>1212</v>
      </c>
      <c r="B1213" s="3">
        <v>46290</v>
      </c>
      <c r="C1213" s="2">
        <v>4</v>
      </c>
      <c r="D1213" s="2">
        <v>2</v>
      </c>
      <c r="E1213" s="2">
        <v>31.2</v>
      </c>
      <c r="F1213" s="2">
        <v>780</v>
      </c>
      <c r="G1213" t="str">
        <f>_xlfn.XLOOKUP(C1213,products!A:A,products!B:B)</f>
        <v>Watermelon</v>
      </c>
      <c r="H1213" t="str">
        <f>_xlfn.XLOOKUP(D1213,stores!A:A,stores!B:B)</f>
        <v>Ohrid</v>
      </c>
      <c r="I1213" t="str">
        <f t="shared" si="36"/>
        <v>NORMAL</v>
      </c>
      <c r="J1213" s="4" t="str">
        <f t="shared" si="37"/>
        <v>9</v>
      </c>
    </row>
    <row r="1214" spans="1:10">
      <c r="A1214" s="2">
        <v>1213</v>
      </c>
      <c r="B1214" s="3">
        <v>46290</v>
      </c>
      <c r="C1214" s="2">
        <v>5</v>
      </c>
      <c r="D1214" s="2">
        <v>1</v>
      </c>
      <c r="E1214" s="2">
        <v>32.3</v>
      </c>
      <c r="F1214" s="2">
        <v>3553</v>
      </c>
      <c r="G1214" t="str">
        <f>_xlfn.XLOOKUP(C1214,products!A:A,products!B:B)</f>
        <v>Grapes</v>
      </c>
      <c r="H1214" t="str">
        <f>_xlfn.XLOOKUP(D1214,stores!A:A,stores!B:B)</f>
        <v>Bitola</v>
      </c>
      <c r="I1214" t="str">
        <f t="shared" si="36"/>
        <v>NORMAL</v>
      </c>
      <c r="J1214" s="4" t="str">
        <f t="shared" si="37"/>
        <v>9</v>
      </c>
    </row>
    <row r="1215" spans="1:10">
      <c r="A1215" s="2">
        <v>1214</v>
      </c>
      <c r="B1215" s="3">
        <v>46290</v>
      </c>
      <c r="C1215" s="2">
        <v>5</v>
      </c>
      <c r="D1215" s="2">
        <v>2</v>
      </c>
      <c r="E1215" s="2">
        <v>22.6</v>
      </c>
      <c r="F1215" s="2">
        <v>2486</v>
      </c>
      <c r="G1215" t="str">
        <f>_xlfn.XLOOKUP(C1215,products!A:A,products!B:B)</f>
        <v>Grapes</v>
      </c>
      <c r="H1215" t="str">
        <f>_xlfn.XLOOKUP(D1215,stores!A:A,stores!B:B)</f>
        <v>Ohrid</v>
      </c>
      <c r="I1215" t="str">
        <f t="shared" si="36"/>
        <v>NORMAL</v>
      </c>
      <c r="J1215" s="4" t="str">
        <f t="shared" si="37"/>
        <v>9</v>
      </c>
    </row>
    <row r="1216" spans="1:10">
      <c r="A1216" s="2">
        <v>1215</v>
      </c>
      <c r="B1216" s="3">
        <v>46290</v>
      </c>
      <c r="C1216" s="2">
        <v>6</v>
      </c>
      <c r="D1216" s="2">
        <v>1</v>
      </c>
      <c r="E1216" s="2">
        <v>1.9</v>
      </c>
      <c r="F1216" s="2">
        <v>418</v>
      </c>
      <c r="G1216" t="str">
        <f>_xlfn.XLOOKUP(C1216,products!A:A,products!B:B)</f>
        <v>Strawberry</v>
      </c>
      <c r="H1216" t="str">
        <f>_xlfn.XLOOKUP(D1216,stores!A:A,stores!B:B)</f>
        <v>Bitola</v>
      </c>
      <c r="I1216" t="str">
        <f t="shared" si="36"/>
        <v>NORMAL</v>
      </c>
      <c r="J1216" s="4" t="str">
        <f t="shared" si="37"/>
        <v>9</v>
      </c>
    </row>
    <row r="1217" spans="1:10">
      <c r="A1217" s="2">
        <v>1216</v>
      </c>
      <c r="B1217" s="3">
        <v>46290</v>
      </c>
      <c r="C1217" s="2">
        <v>6</v>
      </c>
      <c r="D1217" s="2">
        <v>2</v>
      </c>
      <c r="E1217" s="2">
        <v>1.1</v>
      </c>
      <c r="F1217" s="2">
        <v>242</v>
      </c>
      <c r="G1217" t="str">
        <f>_xlfn.XLOOKUP(C1217,products!A:A,products!B:B)</f>
        <v>Strawberry</v>
      </c>
      <c r="H1217" t="str">
        <f>_xlfn.XLOOKUP(D1217,stores!A:A,stores!B:B)</f>
        <v>Ohrid</v>
      </c>
      <c r="I1217" t="str">
        <f t="shared" si="36"/>
        <v>NORMAL</v>
      </c>
      <c r="J1217" s="4" t="str">
        <f t="shared" si="37"/>
        <v>9</v>
      </c>
    </row>
    <row r="1218" spans="1:10">
      <c r="A1218" s="2">
        <v>1217</v>
      </c>
      <c r="B1218" s="3">
        <v>46290</v>
      </c>
      <c r="C1218" s="2">
        <v>7</v>
      </c>
      <c r="D1218" s="2">
        <v>1</v>
      </c>
      <c r="E1218" s="2">
        <v>10.6</v>
      </c>
      <c r="F1218" s="2">
        <v>1007</v>
      </c>
      <c r="G1218" t="str">
        <f>_xlfn.XLOOKUP(C1218,products!A:A,products!B:B)</f>
        <v>Peach</v>
      </c>
      <c r="H1218" t="str">
        <f>_xlfn.XLOOKUP(D1218,stores!A:A,stores!B:B)</f>
        <v>Bitola</v>
      </c>
      <c r="I1218" t="str">
        <f t="shared" ref="I1218:I1281" si="38">IF(E1218&gt;50,"BIG","NORMAL")</f>
        <v>NORMAL</v>
      </c>
      <c r="J1218" s="4" t="str">
        <f t="shared" ref="J1218:J1281" si="39">TEXT(B1218,"m")</f>
        <v>9</v>
      </c>
    </row>
    <row r="1219" spans="1:10">
      <c r="A1219" s="2">
        <v>1218</v>
      </c>
      <c r="B1219" s="3">
        <v>46290</v>
      </c>
      <c r="C1219" s="2">
        <v>7</v>
      </c>
      <c r="D1219" s="2">
        <v>2</v>
      </c>
      <c r="E1219" s="2">
        <v>7.8</v>
      </c>
      <c r="F1219" s="2">
        <v>741</v>
      </c>
      <c r="G1219" t="str">
        <f>_xlfn.XLOOKUP(C1219,products!A:A,products!B:B)</f>
        <v>Peach</v>
      </c>
      <c r="H1219" t="str">
        <f>_xlfn.XLOOKUP(D1219,stores!A:A,stores!B:B)</f>
        <v>Ohrid</v>
      </c>
      <c r="I1219" t="str">
        <f t="shared" si="38"/>
        <v>NORMAL</v>
      </c>
      <c r="J1219" s="4" t="str">
        <f t="shared" si="39"/>
        <v>9</v>
      </c>
    </row>
    <row r="1220" spans="1:10">
      <c r="A1220" s="2">
        <v>1219</v>
      </c>
      <c r="B1220" s="3">
        <v>46291</v>
      </c>
      <c r="C1220" s="2">
        <v>1</v>
      </c>
      <c r="D1220" s="2">
        <v>1</v>
      </c>
      <c r="E1220" s="2">
        <v>43.2</v>
      </c>
      <c r="F1220" s="2">
        <v>2592</v>
      </c>
      <c r="G1220" t="str">
        <f>_xlfn.XLOOKUP(C1220,products!A:A,products!B:B)</f>
        <v>Apple</v>
      </c>
      <c r="H1220" t="str">
        <f>_xlfn.XLOOKUP(D1220,stores!A:A,stores!B:B)</f>
        <v>Bitola</v>
      </c>
      <c r="I1220" t="str">
        <f t="shared" si="38"/>
        <v>NORMAL</v>
      </c>
      <c r="J1220" s="4" t="str">
        <f t="shared" si="39"/>
        <v>9</v>
      </c>
    </row>
    <row r="1221" spans="1:10">
      <c r="A1221" s="2">
        <v>1220</v>
      </c>
      <c r="B1221" s="3">
        <v>46291</v>
      </c>
      <c r="C1221" s="2">
        <v>1</v>
      </c>
      <c r="D1221" s="2">
        <v>2</v>
      </c>
      <c r="E1221" s="2">
        <v>39.8</v>
      </c>
      <c r="F1221" s="2">
        <v>2388</v>
      </c>
      <c r="G1221" t="str">
        <f>_xlfn.XLOOKUP(C1221,products!A:A,products!B:B)</f>
        <v>Apple</v>
      </c>
      <c r="H1221" t="str">
        <f>_xlfn.XLOOKUP(D1221,stores!A:A,stores!B:B)</f>
        <v>Ohrid</v>
      </c>
      <c r="I1221" t="str">
        <f t="shared" si="38"/>
        <v>NORMAL</v>
      </c>
      <c r="J1221" s="4" t="str">
        <f t="shared" si="39"/>
        <v>9</v>
      </c>
    </row>
    <row r="1222" spans="1:10">
      <c r="A1222" s="2">
        <v>1221</v>
      </c>
      <c r="B1222" s="3">
        <v>46291</v>
      </c>
      <c r="C1222" s="2">
        <v>2</v>
      </c>
      <c r="D1222" s="2">
        <v>1</v>
      </c>
      <c r="E1222" s="2">
        <v>23.7</v>
      </c>
      <c r="F1222" s="2">
        <v>2133</v>
      </c>
      <c r="G1222" t="str">
        <f>_xlfn.XLOOKUP(C1222,products!A:A,products!B:B)</f>
        <v>Banana</v>
      </c>
      <c r="H1222" t="str">
        <f>_xlfn.XLOOKUP(D1222,stores!A:A,stores!B:B)</f>
        <v>Bitola</v>
      </c>
      <c r="I1222" t="str">
        <f t="shared" si="38"/>
        <v>NORMAL</v>
      </c>
      <c r="J1222" s="4" t="str">
        <f t="shared" si="39"/>
        <v>9</v>
      </c>
    </row>
    <row r="1223" spans="1:10">
      <c r="A1223" s="2">
        <v>1222</v>
      </c>
      <c r="B1223" s="3">
        <v>46291</v>
      </c>
      <c r="C1223" s="2">
        <v>2</v>
      </c>
      <c r="D1223" s="2">
        <v>2</v>
      </c>
      <c r="E1223" s="2">
        <v>23.3</v>
      </c>
      <c r="F1223" s="2">
        <v>2097</v>
      </c>
      <c r="G1223" t="str">
        <f>_xlfn.XLOOKUP(C1223,products!A:A,products!B:B)</f>
        <v>Banana</v>
      </c>
      <c r="H1223" t="str">
        <f>_xlfn.XLOOKUP(D1223,stores!A:A,stores!B:B)</f>
        <v>Ohrid</v>
      </c>
      <c r="I1223" t="str">
        <f t="shared" si="38"/>
        <v>NORMAL</v>
      </c>
      <c r="J1223" s="4" t="str">
        <f t="shared" si="39"/>
        <v>9</v>
      </c>
    </row>
    <row r="1224" spans="1:10">
      <c r="A1224" s="2">
        <v>1223</v>
      </c>
      <c r="B1224" s="3">
        <v>46291</v>
      </c>
      <c r="C1224" s="2">
        <v>3</v>
      </c>
      <c r="D1224" s="2">
        <v>1</v>
      </c>
      <c r="E1224" s="2">
        <v>16.3</v>
      </c>
      <c r="F1224" s="2">
        <v>1304</v>
      </c>
      <c r="G1224" t="str">
        <f>_xlfn.XLOOKUP(C1224,products!A:A,products!B:B)</f>
        <v>Orange</v>
      </c>
      <c r="H1224" t="str">
        <f>_xlfn.XLOOKUP(D1224,stores!A:A,stores!B:B)</f>
        <v>Bitola</v>
      </c>
      <c r="I1224" t="str">
        <f t="shared" si="38"/>
        <v>NORMAL</v>
      </c>
      <c r="J1224" s="4" t="str">
        <f t="shared" si="39"/>
        <v>9</v>
      </c>
    </row>
    <row r="1225" spans="1:10">
      <c r="A1225" s="2">
        <v>1224</v>
      </c>
      <c r="B1225" s="3">
        <v>46291</v>
      </c>
      <c r="C1225" s="2">
        <v>3</v>
      </c>
      <c r="D1225" s="2">
        <v>2</v>
      </c>
      <c r="E1225" s="2">
        <v>14.1</v>
      </c>
      <c r="F1225" s="2">
        <v>1128</v>
      </c>
      <c r="G1225" t="str">
        <f>_xlfn.XLOOKUP(C1225,products!A:A,products!B:B)</f>
        <v>Orange</v>
      </c>
      <c r="H1225" t="str">
        <f>_xlfn.XLOOKUP(D1225,stores!A:A,stores!B:B)</f>
        <v>Ohrid</v>
      </c>
      <c r="I1225" t="str">
        <f t="shared" si="38"/>
        <v>NORMAL</v>
      </c>
      <c r="J1225" s="4" t="str">
        <f t="shared" si="39"/>
        <v>9</v>
      </c>
    </row>
    <row r="1226" spans="1:10">
      <c r="A1226" s="2">
        <v>1225</v>
      </c>
      <c r="B1226" s="3">
        <v>46291</v>
      </c>
      <c r="C1226" s="2">
        <v>4</v>
      </c>
      <c r="D1226" s="2">
        <v>1</v>
      </c>
      <c r="E1226" s="2">
        <v>38.8</v>
      </c>
      <c r="F1226" s="2">
        <v>970</v>
      </c>
      <c r="G1226" t="str">
        <f>_xlfn.XLOOKUP(C1226,products!A:A,products!B:B)</f>
        <v>Watermelon</v>
      </c>
      <c r="H1226" t="str">
        <f>_xlfn.XLOOKUP(D1226,stores!A:A,stores!B:B)</f>
        <v>Bitola</v>
      </c>
      <c r="I1226" t="str">
        <f t="shared" si="38"/>
        <v>NORMAL</v>
      </c>
      <c r="J1226" s="4" t="str">
        <f t="shared" si="39"/>
        <v>9</v>
      </c>
    </row>
    <row r="1227" spans="1:10">
      <c r="A1227" s="2">
        <v>1226</v>
      </c>
      <c r="B1227" s="3">
        <v>46291</v>
      </c>
      <c r="C1227" s="2">
        <v>4</v>
      </c>
      <c r="D1227" s="2">
        <v>2</v>
      </c>
      <c r="E1227" s="2">
        <v>26</v>
      </c>
      <c r="F1227" s="2">
        <v>650</v>
      </c>
      <c r="G1227" t="str">
        <f>_xlfn.XLOOKUP(C1227,products!A:A,products!B:B)</f>
        <v>Watermelon</v>
      </c>
      <c r="H1227" t="str">
        <f>_xlfn.XLOOKUP(D1227,stores!A:A,stores!B:B)</f>
        <v>Ohrid</v>
      </c>
      <c r="I1227" t="str">
        <f t="shared" si="38"/>
        <v>NORMAL</v>
      </c>
      <c r="J1227" s="4" t="str">
        <f t="shared" si="39"/>
        <v>9</v>
      </c>
    </row>
    <row r="1228" spans="1:10">
      <c r="A1228" s="2">
        <v>1227</v>
      </c>
      <c r="B1228" s="3">
        <v>46291</v>
      </c>
      <c r="C1228" s="2">
        <v>5</v>
      </c>
      <c r="D1228" s="2">
        <v>1</v>
      </c>
      <c r="E1228" s="2">
        <v>35.3</v>
      </c>
      <c r="F1228" s="2">
        <v>3883</v>
      </c>
      <c r="G1228" t="str">
        <f>_xlfn.XLOOKUP(C1228,products!A:A,products!B:B)</f>
        <v>Grapes</v>
      </c>
      <c r="H1228" t="str">
        <f>_xlfn.XLOOKUP(D1228,stores!A:A,stores!B:B)</f>
        <v>Bitola</v>
      </c>
      <c r="I1228" t="str">
        <f t="shared" si="38"/>
        <v>NORMAL</v>
      </c>
      <c r="J1228" s="4" t="str">
        <f t="shared" si="39"/>
        <v>9</v>
      </c>
    </row>
    <row r="1229" spans="1:10">
      <c r="A1229" s="2">
        <v>1228</v>
      </c>
      <c r="B1229" s="3">
        <v>46291</v>
      </c>
      <c r="C1229" s="2">
        <v>5</v>
      </c>
      <c r="D1229" s="2">
        <v>2</v>
      </c>
      <c r="E1229" s="2">
        <v>20.9</v>
      </c>
      <c r="F1229" s="2">
        <v>2299</v>
      </c>
      <c r="G1229" t="str">
        <f>_xlfn.XLOOKUP(C1229,products!A:A,products!B:B)</f>
        <v>Grapes</v>
      </c>
      <c r="H1229" t="str">
        <f>_xlfn.XLOOKUP(D1229,stores!A:A,stores!B:B)</f>
        <v>Ohrid</v>
      </c>
      <c r="I1229" t="str">
        <f t="shared" si="38"/>
        <v>NORMAL</v>
      </c>
      <c r="J1229" s="4" t="str">
        <f t="shared" si="39"/>
        <v>9</v>
      </c>
    </row>
    <row r="1230" spans="1:10">
      <c r="A1230" s="2">
        <v>1229</v>
      </c>
      <c r="B1230" s="3">
        <v>46291</v>
      </c>
      <c r="C1230" s="2">
        <v>6</v>
      </c>
      <c r="D1230" s="2">
        <v>1</v>
      </c>
      <c r="E1230" s="2">
        <v>1.4</v>
      </c>
      <c r="F1230" s="2">
        <v>308</v>
      </c>
      <c r="G1230" t="str">
        <f>_xlfn.XLOOKUP(C1230,products!A:A,products!B:B)</f>
        <v>Strawberry</v>
      </c>
      <c r="H1230" t="str">
        <f>_xlfn.XLOOKUP(D1230,stores!A:A,stores!B:B)</f>
        <v>Bitola</v>
      </c>
      <c r="I1230" t="str">
        <f t="shared" si="38"/>
        <v>NORMAL</v>
      </c>
      <c r="J1230" s="4" t="str">
        <f t="shared" si="39"/>
        <v>9</v>
      </c>
    </row>
    <row r="1231" spans="1:10">
      <c r="A1231" s="2">
        <v>1230</v>
      </c>
      <c r="B1231" s="3">
        <v>46291</v>
      </c>
      <c r="C1231" s="2">
        <v>6</v>
      </c>
      <c r="D1231" s="2">
        <v>2</v>
      </c>
      <c r="E1231" s="2">
        <v>2.6</v>
      </c>
      <c r="F1231" s="2">
        <v>572</v>
      </c>
      <c r="G1231" t="str">
        <f>_xlfn.XLOOKUP(C1231,products!A:A,products!B:B)</f>
        <v>Strawberry</v>
      </c>
      <c r="H1231" t="str">
        <f>_xlfn.XLOOKUP(D1231,stores!A:A,stores!B:B)</f>
        <v>Ohrid</v>
      </c>
      <c r="I1231" t="str">
        <f t="shared" si="38"/>
        <v>NORMAL</v>
      </c>
      <c r="J1231" s="4" t="str">
        <f t="shared" si="39"/>
        <v>9</v>
      </c>
    </row>
    <row r="1232" spans="1:10">
      <c r="A1232" s="2">
        <v>1231</v>
      </c>
      <c r="B1232" s="3">
        <v>46291</v>
      </c>
      <c r="C1232" s="2">
        <v>7</v>
      </c>
      <c r="D1232" s="2">
        <v>1</v>
      </c>
      <c r="E1232" s="2">
        <v>9.2</v>
      </c>
      <c r="F1232" s="2">
        <v>874</v>
      </c>
      <c r="G1232" t="str">
        <f>_xlfn.XLOOKUP(C1232,products!A:A,products!B:B)</f>
        <v>Peach</v>
      </c>
      <c r="H1232" t="str">
        <f>_xlfn.XLOOKUP(D1232,stores!A:A,stores!B:B)</f>
        <v>Bitola</v>
      </c>
      <c r="I1232" t="str">
        <f t="shared" si="38"/>
        <v>NORMAL</v>
      </c>
      <c r="J1232" s="4" t="str">
        <f t="shared" si="39"/>
        <v>9</v>
      </c>
    </row>
    <row r="1233" spans="1:10">
      <c r="A1233" s="2">
        <v>1232</v>
      </c>
      <c r="B1233" s="3">
        <v>46291</v>
      </c>
      <c r="C1233" s="2">
        <v>7</v>
      </c>
      <c r="D1233" s="2">
        <v>2</v>
      </c>
      <c r="E1233" s="2">
        <v>10</v>
      </c>
      <c r="F1233" s="2">
        <v>950</v>
      </c>
      <c r="G1233" t="str">
        <f>_xlfn.XLOOKUP(C1233,products!A:A,products!B:B)</f>
        <v>Peach</v>
      </c>
      <c r="H1233" t="str">
        <f>_xlfn.XLOOKUP(D1233,stores!A:A,stores!B:B)</f>
        <v>Ohrid</v>
      </c>
      <c r="I1233" t="str">
        <f t="shared" si="38"/>
        <v>NORMAL</v>
      </c>
      <c r="J1233" s="4" t="str">
        <f t="shared" si="39"/>
        <v>9</v>
      </c>
    </row>
    <row r="1234" spans="1:10">
      <c r="A1234" s="2">
        <v>1233</v>
      </c>
      <c r="B1234" s="3">
        <v>46292</v>
      </c>
      <c r="C1234" s="2">
        <v>1</v>
      </c>
      <c r="D1234" s="2">
        <v>1</v>
      </c>
      <c r="E1234" s="2">
        <v>28.7</v>
      </c>
      <c r="F1234" s="2">
        <v>1722</v>
      </c>
      <c r="G1234" t="str">
        <f>_xlfn.XLOOKUP(C1234,products!A:A,products!B:B)</f>
        <v>Apple</v>
      </c>
      <c r="H1234" t="str">
        <f>_xlfn.XLOOKUP(D1234,stores!A:A,stores!B:B)</f>
        <v>Bitola</v>
      </c>
      <c r="I1234" t="str">
        <f t="shared" si="38"/>
        <v>NORMAL</v>
      </c>
      <c r="J1234" s="4" t="str">
        <f t="shared" si="39"/>
        <v>9</v>
      </c>
    </row>
    <row r="1235" spans="1:10">
      <c r="A1235" s="2">
        <v>1234</v>
      </c>
      <c r="B1235" s="3">
        <v>46292</v>
      </c>
      <c r="C1235" s="2">
        <v>1</v>
      </c>
      <c r="D1235" s="2">
        <v>2</v>
      </c>
      <c r="E1235" s="2">
        <v>25.9</v>
      </c>
      <c r="F1235" s="2">
        <v>1554</v>
      </c>
      <c r="G1235" t="str">
        <f>_xlfn.XLOOKUP(C1235,products!A:A,products!B:B)</f>
        <v>Apple</v>
      </c>
      <c r="H1235" t="str">
        <f>_xlfn.XLOOKUP(D1235,stores!A:A,stores!B:B)</f>
        <v>Ohrid</v>
      </c>
      <c r="I1235" t="str">
        <f t="shared" si="38"/>
        <v>NORMAL</v>
      </c>
      <c r="J1235" s="4" t="str">
        <f t="shared" si="39"/>
        <v>9</v>
      </c>
    </row>
    <row r="1236" spans="1:10">
      <c r="A1236" s="2">
        <v>1235</v>
      </c>
      <c r="B1236" s="3">
        <v>46292</v>
      </c>
      <c r="C1236" s="2">
        <v>2</v>
      </c>
      <c r="D1236" s="2">
        <v>1</v>
      </c>
      <c r="E1236" s="2">
        <v>29.9</v>
      </c>
      <c r="F1236" s="2">
        <v>2691</v>
      </c>
      <c r="G1236" t="str">
        <f>_xlfn.XLOOKUP(C1236,products!A:A,products!B:B)</f>
        <v>Banana</v>
      </c>
      <c r="H1236" t="str">
        <f>_xlfn.XLOOKUP(D1236,stores!A:A,stores!B:B)</f>
        <v>Bitola</v>
      </c>
      <c r="I1236" t="str">
        <f t="shared" si="38"/>
        <v>NORMAL</v>
      </c>
      <c r="J1236" s="4" t="str">
        <f t="shared" si="39"/>
        <v>9</v>
      </c>
    </row>
    <row r="1237" spans="1:10">
      <c r="A1237" s="2">
        <v>1236</v>
      </c>
      <c r="B1237" s="3">
        <v>46292</v>
      </c>
      <c r="C1237" s="2">
        <v>2</v>
      </c>
      <c r="D1237" s="2">
        <v>2</v>
      </c>
      <c r="E1237" s="2">
        <v>26.9</v>
      </c>
      <c r="F1237" s="2">
        <v>2421</v>
      </c>
      <c r="G1237" t="str">
        <f>_xlfn.XLOOKUP(C1237,products!A:A,products!B:B)</f>
        <v>Banana</v>
      </c>
      <c r="H1237" t="str">
        <f>_xlfn.XLOOKUP(D1237,stores!A:A,stores!B:B)</f>
        <v>Ohrid</v>
      </c>
      <c r="I1237" t="str">
        <f t="shared" si="38"/>
        <v>NORMAL</v>
      </c>
      <c r="J1237" s="4" t="str">
        <f t="shared" si="39"/>
        <v>9</v>
      </c>
    </row>
    <row r="1238" spans="1:10">
      <c r="A1238" s="2">
        <v>1237</v>
      </c>
      <c r="B1238" s="3">
        <v>46292</v>
      </c>
      <c r="C1238" s="2">
        <v>3</v>
      </c>
      <c r="D1238" s="2">
        <v>1</v>
      </c>
      <c r="E1238" s="2">
        <v>20.9</v>
      </c>
      <c r="F1238" s="2">
        <v>1672</v>
      </c>
      <c r="G1238" t="str">
        <f>_xlfn.XLOOKUP(C1238,products!A:A,products!B:B)</f>
        <v>Orange</v>
      </c>
      <c r="H1238" t="str">
        <f>_xlfn.XLOOKUP(D1238,stores!A:A,stores!B:B)</f>
        <v>Bitola</v>
      </c>
      <c r="I1238" t="str">
        <f t="shared" si="38"/>
        <v>NORMAL</v>
      </c>
      <c r="J1238" s="4" t="str">
        <f t="shared" si="39"/>
        <v>9</v>
      </c>
    </row>
    <row r="1239" spans="1:10">
      <c r="A1239" s="2">
        <v>1238</v>
      </c>
      <c r="B1239" s="3">
        <v>46292</v>
      </c>
      <c r="C1239" s="2">
        <v>3</v>
      </c>
      <c r="D1239" s="2">
        <v>2</v>
      </c>
      <c r="E1239" s="2">
        <v>17.2</v>
      </c>
      <c r="F1239" s="2">
        <v>1376</v>
      </c>
      <c r="G1239" t="str">
        <f>_xlfn.XLOOKUP(C1239,products!A:A,products!B:B)</f>
        <v>Orange</v>
      </c>
      <c r="H1239" t="str">
        <f>_xlfn.XLOOKUP(D1239,stores!A:A,stores!B:B)</f>
        <v>Ohrid</v>
      </c>
      <c r="I1239" t="str">
        <f t="shared" si="38"/>
        <v>NORMAL</v>
      </c>
      <c r="J1239" s="4" t="str">
        <f t="shared" si="39"/>
        <v>9</v>
      </c>
    </row>
    <row r="1240" spans="1:10">
      <c r="A1240" s="2">
        <v>1239</v>
      </c>
      <c r="B1240" s="3">
        <v>46292</v>
      </c>
      <c r="C1240" s="2">
        <v>4</v>
      </c>
      <c r="D1240" s="2">
        <v>1</v>
      </c>
      <c r="E1240" s="2">
        <v>35.5</v>
      </c>
      <c r="F1240" s="2">
        <v>888</v>
      </c>
      <c r="G1240" t="str">
        <f>_xlfn.XLOOKUP(C1240,products!A:A,products!B:B)</f>
        <v>Watermelon</v>
      </c>
      <c r="H1240" t="str">
        <f>_xlfn.XLOOKUP(D1240,stores!A:A,stores!B:B)</f>
        <v>Bitola</v>
      </c>
      <c r="I1240" t="str">
        <f t="shared" si="38"/>
        <v>NORMAL</v>
      </c>
      <c r="J1240" s="4" t="str">
        <f t="shared" si="39"/>
        <v>9</v>
      </c>
    </row>
    <row r="1241" spans="1:10">
      <c r="A1241" s="2">
        <v>1240</v>
      </c>
      <c r="B1241" s="3">
        <v>46292</v>
      </c>
      <c r="C1241" s="2">
        <v>4</v>
      </c>
      <c r="D1241" s="2">
        <v>2</v>
      </c>
      <c r="E1241" s="2">
        <v>38.9</v>
      </c>
      <c r="F1241" s="2">
        <v>972</v>
      </c>
      <c r="G1241" t="str">
        <f>_xlfn.XLOOKUP(C1241,products!A:A,products!B:B)</f>
        <v>Watermelon</v>
      </c>
      <c r="H1241" t="str">
        <f>_xlfn.XLOOKUP(D1241,stores!A:A,stores!B:B)</f>
        <v>Ohrid</v>
      </c>
      <c r="I1241" t="str">
        <f t="shared" si="38"/>
        <v>NORMAL</v>
      </c>
      <c r="J1241" s="4" t="str">
        <f t="shared" si="39"/>
        <v>9</v>
      </c>
    </row>
    <row r="1242" spans="1:10">
      <c r="A1242" s="2">
        <v>1241</v>
      </c>
      <c r="B1242" s="3">
        <v>46292</v>
      </c>
      <c r="C1242" s="2">
        <v>5</v>
      </c>
      <c r="D1242" s="2">
        <v>1</v>
      </c>
      <c r="E1242" s="2">
        <v>42.8</v>
      </c>
      <c r="F1242" s="2">
        <v>4708</v>
      </c>
      <c r="G1242" t="str">
        <f>_xlfn.XLOOKUP(C1242,products!A:A,products!B:B)</f>
        <v>Grapes</v>
      </c>
      <c r="H1242" t="str">
        <f>_xlfn.XLOOKUP(D1242,stores!A:A,stores!B:B)</f>
        <v>Bitola</v>
      </c>
      <c r="I1242" t="str">
        <f t="shared" si="38"/>
        <v>NORMAL</v>
      </c>
      <c r="J1242" s="4" t="str">
        <f t="shared" si="39"/>
        <v>9</v>
      </c>
    </row>
    <row r="1243" spans="1:10">
      <c r="A1243" s="2">
        <v>1242</v>
      </c>
      <c r="B1243" s="3">
        <v>46292</v>
      </c>
      <c r="C1243" s="2">
        <v>5</v>
      </c>
      <c r="D1243" s="2">
        <v>2</v>
      </c>
      <c r="E1243" s="2">
        <v>34.1</v>
      </c>
      <c r="F1243" s="2">
        <v>3751</v>
      </c>
      <c r="G1243" t="str">
        <f>_xlfn.XLOOKUP(C1243,products!A:A,products!B:B)</f>
        <v>Grapes</v>
      </c>
      <c r="H1243" t="str">
        <f>_xlfn.XLOOKUP(D1243,stores!A:A,stores!B:B)</f>
        <v>Ohrid</v>
      </c>
      <c r="I1243" t="str">
        <f t="shared" si="38"/>
        <v>NORMAL</v>
      </c>
      <c r="J1243" s="4" t="str">
        <f t="shared" si="39"/>
        <v>9</v>
      </c>
    </row>
    <row r="1244" spans="1:10">
      <c r="A1244" s="2">
        <v>1243</v>
      </c>
      <c r="B1244" s="3">
        <v>46292</v>
      </c>
      <c r="C1244" s="2">
        <v>6</v>
      </c>
      <c r="D1244" s="2">
        <v>1</v>
      </c>
      <c r="E1244" s="2">
        <v>2.3</v>
      </c>
      <c r="F1244" s="2">
        <v>506</v>
      </c>
      <c r="G1244" t="str">
        <f>_xlfn.XLOOKUP(C1244,products!A:A,products!B:B)</f>
        <v>Strawberry</v>
      </c>
      <c r="H1244" t="str">
        <f>_xlfn.XLOOKUP(D1244,stores!A:A,stores!B:B)</f>
        <v>Bitola</v>
      </c>
      <c r="I1244" t="str">
        <f t="shared" si="38"/>
        <v>NORMAL</v>
      </c>
      <c r="J1244" s="4" t="str">
        <f t="shared" si="39"/>
        <v>9</v>
      </c>
    </row>
    <row r="1245" spans="1:10">
      <c r="A1245" s="2">
        <v>1244</v>
      </c>
      <c r="B1245" s="3">
        <v>46292</v>
      </c>
      <c r="C1245" s="2">
        <v>6</v>
      </c>
      <c r="D1245" s="2">
        <v>2</v>
      </c>
      <c r="E1245" s="2">
        <v>2.7</v>
      </c>
      <c r="F1245" s="2">
        <v>594</v>
      </c>
      <c r="G1245" t="str">
        <f>_xlfn.XLOOKUP(C1245,products!A:A,products!B:B)</f>
        <v>Strawberry</v>
      </c>
      <c r="H1245" t="str">
        <f>_xlfn.XLOOKUP(D1245,stores!A:A,stores!B:B)</f>
        <v>Ohrid</v>
      </c>
      <c r="I1245" t="str">
        <f t="shared" si="38"/>
        <v>NORMAL</v>
      </c>
      <c r="J1245" s="4" t="str">
        <f t="shared" si="39"/>
        <v>9</v>
      </c>
    </row>
    <row r="1246" spans="1:10">
      <c r="A1246" s="2">
        <v>1245</v>
      </c>
      <c r="B1246" s="3">
        <v>46292</v>
      </c>
      <c r="C1246" s="2">
        <v>7</v>
      </c>
      <c r="D1246" s="2">
        <v>1</v>
      </c>
      <c r="E1246" s="2">
        <v>16.9</v>
      </c>
      <c r="F1246" s="2">
        <v>1605</v>
      </c>
      <c r="G1246" t="str">
        <f>_xlfn.XLOOKUP(C1246,products!A:A,products!B:B)</f>
        <v>Peach</v>
      </c>
      <c r="H1246" t="str">
        <f>_xlfn.XLOOKUP(D1246,stores!A:A,stores!B:B)</f>
        <v>Bitola</v>
      </c>
      <c r="I1246" t="str">
        <f t="shared" si="38"/>
        <v>NORMAL</v>
      </c>
      <c r="J1246" s="4" t="str">
        <f t="shared" si="39"/>
        <v>9</v>
      </c>
    </row>
    <row r="1247" spans="1:10">
      <c r="A1247" s="2">
        <v>1246</v>
      </c>
      <c r="B1247" s="3">
        <v>46292</v>
      </c>
      <c r="C1247" s="2">
        <v>7</v>
      </c>
      <c r="D1247" s="2">
        <v>2</v>
      </c>
      <c r="E1247" s="2">
        <v>12.7</v>
      </c>
      <c r="F1247" s="2">
        <v>1206</v>
      </c>
      <c r="G1247" t="str">
        <f>_xlfn.XLOOKUP(C1247,products!A:A,products!B:B)</f>
        <v>Peach</v>
      </c>
      <c r="H1247" t="str">
        <f>_xlfn.XLOOKUP(D1247,stores!A:A,stores!B:B)</f>
        <v>Ohrid</v>
      </c>
      <c r="I1247" t="str">
        <f t="shared" si="38"/>
        <v>NORMAL</v>
      </c>
      <c r="J1247" s="4" t="str">
        <f t="shared" si="39"/>
        <v>9</v>
      </c>
    </row>
    <row r="1248" spans="1:10">
      <c r="A1248" s="2">
        <v>1247</v>
      </c>
      <c r="B1248" s="3">
        <v>46293</v>
      </c>
      <c r="C1248" s="2">
        <v>1</v>
      </c>
      <c r="D1248" s="2">
        <v>1</v>
      </c>
      <c r="E1248" s="2">
        <v>43.3</v>
      </c>
      <c r="F1248" s="2">
        <v>2598</v>
      </c>
      <c r="G1248" t="str">
        <f>_xlfn.XLOOKUP(C1248,products!A:A,products!B:B)</f>
        <v>Apple</v>
      </c>
      <c r="H1248" t="str">
        <f>_xlfn.XLOOKUP(D1248,stores!A:A,stores!B:B)</f>
        <v>Bitola</v>
      </c>
      <c r="I1248" t="str">
        <f t="shared" si="38"/>
        <v>NORMAL</v>
      </c>
      <c r="J1248" s="4" t="str">
        <f t="shared" si="39"/>
        <v>9</v>
      </c>
    </row>
    <row r="1249" spans="1:10">
      <c r="A1249" s="2">
        <v>1248</v>
      </c>
      <c r="B1249" s="3">
        <v>46293</v>
      </c>
      <c r="C1249" s="2">
        <v>1</v>
      </c>
      <c r="D1249" s="2">
        <v>2</v>
      </c>
      <c r="E1249" s="2">
        <v>34.1</v>
      </c>
      <c r="F1249" s="2">
        <v>2046</v>
      </c>
      <c r="G1249" t="str">
        <f>_xlfn.XLOOKUP(C1249,products!A:A,products!B:B)</f>
        <v>Apple</v>
      </c>
      <c r="H1249" t="str">
        <f>_xlfn.XLOOKUP(D1249,stores!A:A,stores!B:B)</f>
        <v>Ohrid</v>
      </c>
      <c r="I1249" t="str">
        <f t="shared" si="38"/>
        <v>NORMAL</v>
      </c>
      <c r="J1249" s="4" t="str">
        <f t="shared" si="39"/>
        <v>9</v>
      </c>
    </row>
    <row r="1250" spans="1:10">
      <c r="A1250" s="2">
        <v>1249</v>
      </c>
      <c r="B1250" s="3">
        <v>46293</v>
      </c>
      <c r="C1250" s="2">
        <v>2</v>
      </c>
      <c r="D1250" s="2">
        <v>1</v>
      </c>
      <c r="E1250" s="2">
        <v>30.4</v>
      </c>
      <c r="F1250" s="2">
        <v>2736</v>
      </c>
      <c r="G1250" t="str">
        <f>_xlfn.XLOOKUP(C1250,products!A:A,products!B:B)</f>
        <v>Banana</v>
      </c>
      <c r="H1250" t="str">
        <f>_xlfn.XLOOKUP(D1250,stores!A:A,stores!B:B)</f>
        <v>Bitola</v>
      </c>
      <c r="I1250" t="str">
        <f t="shared" si="38"/>
        <v>NORMAL</v>
      </c>
      <c r="J1250" s="4" t="str">
        <f t="shared" si="39"/>
        <v>9</v>
      </c>
    </row>
    <row r="1251" spans="1:10">
      <c r="A1251" s="2">
        <v>1250</v>
      </c>
      <c r="B1251" s="3">
        <v>46293</v>
      </c>
      <c r="C1251" s="2">
        <v>2</v>
      </c>
      <c r="D1251" s="2">
        <v>2</v>
      </c>
      <c r="E1251" s="2">
        <v>18.3</v>
      </c>
      <c r="F1251" s="2">
        <v>1647</v>
      </c>
      <c r="G1251" t="str">
        <f>_xlfn.XLOOKUP(C1251,products!A:A,products!B:B)</f>
        <v>Banana</v>
      </c>
      <c r="H1251" t="str">
        <f>_xlfn.XLOOKUP(D1251,stores!A:A,stores!B:B)</f>
        <v>Ohrid</v>
      </c>
      <c r="I1251" t="str">
        <f t="shared" si="38"/>
        <v>NORMAL</v>
      </c>
      <c r="J1251" s="4" t="str">
        <f t="shared" si="39"/>
        <v>9</v>
      </c>
    </row>
    <row r="1252" spans="1:10">
      <c r="A1252" s="2">
        <v>1251</v>
      </c>
      <c r="B1252" s="3">
        <v>46293</v>
      </c>
      <c r="C1252" s="2">
        <v>3</v>
      </c>
      <c r="D1252" s="2">
        <v>1</v>
      </c>
      <c r="E1252" s="2">
        <v>10.9</v>
      </c>
      <c r="F1252" s="2">
        <v>872</v>
      </c>
      <c r="G1252" t="str">
        <f>_xlfn.XLOOKUP(C1252,products!A:A,products!B:B)</f>
        <v>Orange</v>
      </c>
      <c r="H1252" t="str">
        <f>_xlfn.XLOOKUP(D1252,stores!A:A,stores!B:B)</f>
        <v>Bitola</v>
      </c>
      <c r="I1252" t="str">
        <f t="shared" si="38"/>
        <v>NORMAL</v>
      </c>
      <c r="J1252" s="4" t="str">
        <f t="shared" si="39"/>
        <v>9</v>
      </c>
    </row>
    <row r="1253" spans="1:10">
      <c r="A1253" s="2">
        <v>1252</v>
      </c>
      <c r="B1253" s="3">
        <v>46293</v>
      </c>
      <c r="C1253" s="2">
        <v>3</v>
      </c>
      <c r="D1253" s="2">
        <v>2</v>
      </c>
      <c r="E1253" s="2">
        <v>12.5</v>
      </c>
      <c r="F1253" s="2">
        <v>1000</v>
      </c>
      <c r="G1253" t="str">
        <f>_xlfn.XLOOKUP(C1253,products!A:A,products!B:B)</f>
        <v>Orange</v>
      </c>
      <c r="H1253" t="str">
        <f>_xlfn.XLOOKUP(D1253,stores!A:A,stores!B:B)</f>
        <v>Ohrid</v>
      </c>
      <c r="I1253" t="str">
        <f t="shared" si="38"/>
        <v>NORMAL</v>
      </c>
      <c r="J1253" s="4" t="str">
        <f t="shared" si="39"/>
        <v>9</v>
      </c>
    </row>
    <row r="1254" spans="1:10">
      <c r="A1254" s="2">
        <v>1253</v>
      </c>
      <c r="B1254" s="3">
        <v>46293</v>
      </c>
      <c r="C1254" s="2">
        <v>4</v>
      </c>
      <c r="D1254" s="2">
        <v>1</v>
      </c>
      <c r="E1254" s="2">
        <v>20</v>
      </c>
      <c r="F1254" s="2">
        <v>500</v>
      </c>
      <c r="G1254" t="str">
        <f>_xlfn.XLOOKUP(C1254,products!A:A,products!B:B)</f>
        <v>Watermelon</v>
      </c>
      <c r="H1254" t="str">
        <f>_xlfn.XLOOKUP(D1254,stores!A:A,stores!B:B)</f>
        <v>Bitola</v>
      </c>
      <c r="I1254" t="str">
        <f t="shared" si="38"/>
        <v>NORMAL</v>
      </c>
      <c r="J1254" s="4" t="str">
        <f t="shared" si="39"/>
        <v>9</v>
      </c>
    </row>
    <row r="1255" spans="1:10">
      <c r="A1255" s="2">
        <v>1254</v>
      </c>
      <c r="B1255" s="3">
        <v>46293</v>
      </c>
      <c r="C1255" s="2">
        <v>4</v>
      </c>
      <c r="D1255" s="2">
        <v>2</v>
      </c>
      <c r="E1255" s="2">
        <v>23.8</v>
      </c>
      <c r="F1255" s="2">
        <v>595</v>
      </c>
      <c r="G1255" t="str">
        <f>_xlfn.XLOOKUP(C1255,products!A:A,products!B:B)</f>
        <v>Watermelon</v>
      </c>
      <c r="H1255" t="str">
        <f>_xlfn.XLOOKUP(D1255,stores!A:A,stores!B:B)</f>
        <v>Ohrid</v>
      </c>
      <c r="I1255" t="str">
        <f t="shared" si="38"/>
        <v>NORMAL</v>
      </c>
      <c r="J1255" s="4" t="str">
        <f t="shared" si="39"/>
        <v>9</v>
      </c>
    </row>
    <row r="1256" spans="1:10">
      <c r="A1256" s="2">
        <v>1255</v>
      </c>
      <c r="B1256" s="3">
        <v>46293</v>
      </c>
      <c r="C1256" s="2">
        <v>5</v>
      </c>
      <c r="D1256" s="2">
        <v>1</v>
      </c>
      <c r="E1256" s="2">
        <v>32.9</v>
      </c>
      <c r="F1256" s="2">
        <v>3619</v>
      </c>
      <c r="G1256" t="str">
        <f>_xlfn.XLOOKUP(C1256,products!A:A,products!B:B)</f>
        <v>Grapes</v>
      </c>
      <c r="H1256" t="str">
        <f>_xlfn.XLOOKUP(D1256,stores!A:A,stores!B:B)</f>
        <v>Bitola</v>
      </c>
      <c r="I1256" t="str">
        <f t="shared" si="38"/>
        <v>NORMAL</v>
      </c>
      <c r="J1256" s="4" t="str">
        <f t="shared" si="39"/>
        <v>9</v>
      </c>
    </row>
    <row r="1257" spans="1:10">
      <c r="A1257" s="2">
        <v>1256</v>
      </c>
      <c r="B1257" s="3">
        <v>46293</v>
      </c>
      <c r="C1257" s="2">
        <v>5</v>
      </c>
      <c r="D1257" s="2">
        <v>2</v>
      </c>
      <c r="E1257" s="2">
        <v>21.8</v>
      </c>
      <c r="F1257" s="2">
        <v>2398</v>
      </c>
      <c r="G1257" t="str">
        <f>_xlfn.XLOOKUP(C1257,products!A:A,products!B:B)</f>
        <v>Grapes</v>
      </c>
      <c r="H1257" t="str">
        <f>_xlfn.XLOOKUP(D1257,stores!A:A,stores!B:B)</f>
        <v>Ohrid</v>
      </c>
      <c r="I1257" t="str">
        <f t="shared" si="38"/>
        <v>NORMAL</v>
      </c>
      <c r="J1257" s="4" t="str">
        <f t="shared" si="39"/>
        <v>9</v>
      </c>
    </row>
    <row r="1258" spans="1:10">
      <c r="A1258" s="2">
        <v>1257</v>
      </c>
      <c r="B1258" s="3">
        <v>46293</v>
      </c>
      <c r="C1258" s="2">
        <v>6</v>
      </c>
      <c r="D1258" s="2">
        <v>1</v>
      </c>
      <c r="E1258" s="2">
        <v>2.2</v>
      </c>
      <c r="F1258" s="2">
        <v>484</v>
      </c>
      <c r="G1258" t="str">
        <f>_xlfn.XLOOKUP(C1258,products!A:A,products!B:B)</f>
        <v>Strawberry</v>
      </c>
      <c r="H1258" t="str">
        <f>_xlfn.XLOOKUP(D1258,stores!A:A,stores!B:B)</f>
        <v>Bitola</v>
      </c>
      <c r="I1258" t="str">
        <f t="shared" si="38"/>
        <v>NORMAL</v>
      </c>
      <c r="J1258" s="4" t="str">
        <f t="shared" si="39"/>
        <v>9</v>
      </c>
    </row>
    <row r="1259" spans="1:10">
      <c r="A1259" s="2">
        <v>1258</v>
      </c>
      <c r="B1259" s="3">
        <v>46293</v>
      </c>
      <c r="C1259" s="2">
        <v>6</v>
      </c>
      <c r="D1259" s="2">
        <v>2</v>
      </c>
      <c r="E1259" s="2">
        <v>1.3</v>
      </c>
      <c r="F1259" s="2">
        <v>286</v>
      </c>
      <c r="G1259" t="str">
        <f>_xlfn.XLOOKUP(C1259,products!A:A,products!B:B)</f>
        <v>Strawberry</v>
      </c>
      <c r="H1259" t="str">
        <f>_xlfn.XLOOKUP(D1259,stores!A:A,stores!B:B)</f>
        <v>Ohrid</v>
      </c>
      <c r="I1259" t="str">
        <f t="shared" si="38"/>
        <v>NORMAL</v>
      </c>
      <c r="J1259" s="4" t="str">
        <f t="shared" si="39"/>
        <v>9</v>
      </c>
    </row>
    <row r="1260" spans="1:10">
      <c r="A1260" s="2">
        <v>1259</v>
      </c>
      <c r="B1260" s="3">
        <v>46293</v>
      </c>
      <c r="C1260" s="2">
        <v>7</v>
      </c>
      <c r="D1260" s="2">
        <v>1</v>
      </c>
      <c r="E1260" s="2">
        <v>9</v>
      </c>
      <c r="F1260" s="2">
        <v>855</v>
      </c>
      <c r="G1260" t="str">
        <f>_xlfn.XLOOKUP(C1260,products!A:A,products!B:B)</f>
        <v>Peach</v>
      </c>
      <c r="H1260" t="str">
        <f>_xlfn.XLOOKUP(D1260,stores!A:A,stores!B:B)</f>
        <v>Bitola</v>
      </c>
      <c r="I1260" t="str">
        <f t="shared" si="38"/>
        <v>NORMAL</v>
      </c>
      <c r="J1260" s="4" t="str">
        <f t="shared" si="39"/>
        <v>9</v>
      </c>
    </row>
    <row r="1261" spans="1:10">
      <c r="A1261" s="2">
        <v>1260</v>
      </c>
      <c r="B1261" s="3">
        <v>46293</v>
      </c>
      <c r="C1261" s="2">
        <v>7</v>
      </c>
      <c r="D1261" s="2">
        <v>2</v>
      </c>
      <c r="E1261" s="2">
        <v>10.8</v>
      </c>
      <c r="F1261" s="2">
        <v>1026</v>
      </c>
      <c r="G1261" t="str">
        <f>_xlfn.XLOOKUP(C1261,products!A:A,products!B:B)</f>
        <v>Peach</v>
      </c>
      <c r="H1261" t="str">
        <f>_xlfn.XLOOKUP(D1261,stores!A:A,stores!B:B)</f>
        <v>Ohrid</v>
      </c>
      <c r="I1261" t="str">
        <f t="shared" si="38"/>
        <v>NORMAL</v>
      </c>
      <c r="J1261" s="4" t="str">
        <f t="shared" si="39"/>
        <v>9</v>
      </c>
    </row>
    <row r="1262" spans="1:10">
      <c r="A1262" s="2">
        <v>1261</v>
      </c>
      <c r="B1262" s="3">
        <v>46294</v>
      </c>
      <c r="C1262" s="2">
        <v>1</v>
      </c>
      <c r="D1262" s="2">
        <v>1</v>
      </c>
      <c r="E1262" s="2">
        <v>33.3</v>
      </c>
      <c r="F1262" s="2">
        <v>1998</v>
      </c>
      <c r="G1262" t="str">
        <f>_xlfn.XLOOKUP(C1262,products!A:A,products!B:B)</f>
        <v>Apple</v>
      </c>
      <c r="H1262" t="str">
        <f>_xlfn.XLOOKUP(D1262,stores!A:A,stores!B:B)</f>
        <v>Bitola</v>
      </c>
      <c r="I1262" t="str">
        <f t="shared" si="38"/>
        <v>NORMAL</v>
      </c>
      <c r="J1262" s="4" t="str">
        <f t="shared" si="39"/>
        <v>9</v>
      </c>
    </row>
    <row r="1263" spans="1:10">
      <c r="A1263" s="2">
        <v>1262</v>
      </c>
      <c r="B1263" s="3">
        <v>46294</v>
      </c>
      <c r="C1263" s="2">
        <v>1</v>
      </c>
      <c r="D1263" s="2">
        <v>2</v>
      </c>
      <c r="E1263" s="2">
        <v>30.5</v>
      </c>
      <c r="F1263" s="2">
        <v>1830</v>
      </c>
      <c r="G1263" t="str">
        <f>_xlfn.XLOOKUP(C1263,products!A:A,products!B:B)</f>
        <v>Apple</v>
      </c>
      <c r="H1263" t="str">
        <f>_xlfn.XLOOKUP(D1263,stores!A:A,stores!B:B)</f>
        <v>Ohrid</v>
      </c>
      <c r="I1263" t="str">
        <f t="shared" si="38"/>
        <v>NORMAL</v>
      </c>
      <c r="J1263" s="4" t="str">
        <f t="shared" si="39"/>
        <v>9</v>
      </c>
    </row>
    <row r="1264" spans="1:10">
      <c r="A1264" s="2">
        <v>1263</v>
      </c>
      <c r="B1264" s="3">
        <v>46294</v>
      </c>
      <c r="C1264" s="2">
        <v>2</v>
      </c>
      <c r="D1264" s="2">
        <v>1</v>
      </c>
      <c r="E1264" s="2">
        <v>34.9</v>
      </c>
      <c r="F1264" s="2">
        <v>3141</v>
      </c>
      <c r="G1264" t="str">
        <f>_xlfn.XLOOKUP(C1264,products!A:A,products!B:B)</f>
        <v>Banana</v>
      </c>
      <c r="H1264" t="str">
        <f>_xlfn.XLOOKUP(D1264,stores!A:A,stores!B:B)</f>
        <v>Bitola</v>
      </c>
      <c r="I1264" t="str">
        <f t="shared" si="38"/>
        <v>NORMAL</v>
      </c>
      <c r="J1264" s="4" t="str">
        <f t="shared" si="39"/>
        <v>9</v>
      </c>
    </row>
    <row r="1265" spans="1:10">
      <c r="A1265" s="2">
        <v>1264</v>
      </c>
      <c r="B1265" s="3">
        <v>46294</v>
      </c>
      <c r="C1265" s="2">
        <v>2</v>
      </c>
      <c r="D1265" s="2">
        <v>2</v>
      </c>
      <c r="E1265" s="2">
        <v>29.5</v>
      </c>
      <c r="F1265" s="2">
        <v>2655</v>
      </c>
      <c r="G1265" t="str">
        <f>_xlfn.XLOOKUP(C1265,products!A:A,products!B:B)</f>
        <v>Banana</v>
      </c>
      <c r="H1265" t="str">
        <f>_xlfn.XLOOKUP(D1265,stores!A:A,stores!B:B)</f>
        <v>Ohrid</v>
      </c>
      <c r="I1265" t="str">
        <f t="shared" si="38"/>
        <v>NORMAL</v>
      </c>
      <c r="J1265" s="4" t="str">
        <f t="shared" si="39"/>
        <v>9</v>
      </c>
    </row>
    <row r="1266" spans="1:10">
      <c r="A1266" s="2">
        <v>1265</v>
      </c>
      <c r="B1266" s="3">
        <v>46294</v>
      </c>
      <c r="C1266" s="2">
        <v>3</v>
      </c>
      <c r="D1266" s="2">
        <v>1</v>
      </c>
      <c r="E1266" s="2">
        <v>11.5</v>
      </c>
      <c r="F1266" s="2">
        <v>920</v>
      </c>
      <c r="G1266" t="str">
        <f>_xlfn.XLOOKUP(C1266,products!A:A,products!B:B)</f>
        <v>Orange</v>
      </c>
      <c r="H1266" t="str">
        <f>_xlfn.XLOOKUP(D1266,stores!A:A,stores!B:B)</f>
        <v>Bitola</v>
      </c>
      <c r="I1266" t="str">
        <f t="shared" si="38"/>
        <v>NORMAL</v>
      </c>
      <c r="J1266" s="4" t="str">
        <f t="shared" si="39"/>
        <v>9</v>
      </c>
    </row>
    <row r="1267" spans="1:10">
      <c r="A1267" s="2">
        <v>1266</v>
      </c>
      <c r="B1267" s="3">
        <v>46294</v>
      </c>
      <c r="C1267" s="2">
        <v>3</v>
      </c>
      <c r="D1267" s="2">
        <v>2</v>
      </c>
      <c r="E1267" s="2">
        <v>15.9</v>
      </c>
      <c r="F1267" s="2">
        <v>1272</v>
      </c>
      <c r="G1267" t="str">
        <f>_xlfn.XLOOKUP(C1267,products!A:A,products!B:B)</f>
        <v>Orange</v>
      </c>
      <c r="H1267" t="str">
        <f>_xlfn.XLOOKUP(D1267,stores!A:A,stores!B:B)</f>
        <v>Ohrid</v>
      </c>
      <c r="I1267" t="str">
        <f t="shared" si="38"/>
        <v>NORMAL</v>
      </c>
      <c r="J1267" s="4" t="str">
        <f t="shared" si="39"/>
        <v>9</v>
      </c>
    </row>
    <row r="1268" spans="1:10">
      <c r="A1268" s="2">
        <v>1267</v>
      </c>
      <c r="B1268" s="3">
        <v>46294</v>
      </c>
      <c r="C1268" s="2">
        <v>4</v>
      </c>
      <c r="D1268" s="2">
        <v>1</v>
      </c>
      <c r="E1268" s="2">
        <v>26.3</v>
      </c>
      <c r="F1268" s="2">
        <v>658</v>
      </c>
      <c r="G1268" t="str">
        <f>_xlfn.XLOOKUP(C1268,products!A:A,products!B:B)</f>
        <v>Watermelon</v>
      </c>
      <c r="H1268" t="str">
        <f>_xlfn.XLOOKUP(D1268,stores!A:A,stores!B:B)</f>
        <v>Bitola</v>
      </c>
      <c r="I1268" t="str">
        <f t="shared" si="38"/>
        <v>NORMAL</v>
      </c>
      <c r="J1268" s="4" t="str">
        <f t="shared" si="39"/>
        <v>9</v>
      </c>
    </row>
    <row r="1269" spans="1:10">
      <c r="A1269" s="2">
        <v>1268</v>
      </c>
      <c r="B1269" s="3">
        <v>46294</v>
      </c>
      <c r="C1269" s="2">
        <v>4</v>
      </c>
      <c r="D1269" s="2">
        <v>2</v>
      </c>
      <c r="E1269" s="2">
        <v>26.9</v>
      </c>
      <c r="F1269" s="2">
        <v>672</v>
      </c>
      <c r="G1269" t="str">
        <f>_xlfn.XLOOKUP(C1269,products!A:A,products!B:B)</f>
        <v>Watermelon</v>
      </c>
      <c r="H1269" t="str">
        <f>_xlfn.XLOOKUP(D1269,stores!A:A,stores!B:B)</f>
        <v>Ohrid</v>
      </c>
      <c r="I1269" t="str">
        <f t="shared" si="38"/>
        <v>NORMAL</v>
      </c>
      <c r="J1269" s="4" t="str">
        <f t="shared" si="39"/>
        <v>9</v>
      </c>
    </row>
    <row r="1270" spans="1:10">
      <c r="A1270" s="2">
        <v>1269</v>
      </c>
      <c r="B1270" s="3">
        <v>46294</v>
      </c>
      <c r="C1270" s="2">
        <v>5</v>
      </c>
      <c r="D1270" s="2">
        <v>1</v>
      </c>
      <c r="E1270" s="2">
        <v>28.1</v>
      </c>
      <c r="F1270" s="2">
        <v>3091</v>
      </c>
      <c r="G1270" t="str">
        <f>_xlfn.XLOOKUP(C1270,products!A:A,products!B:B)</f>
        <v>Grapes</v>
      </c>
      <c r="H1270" t="str">
        <f>_xlfn.XLOOKUP(D1270,stores!A:A,stores!B:B)</f>
        <v>Bitola</v>
      </c>
      <c r="I1270" t="str">
        <f t="shared" si="38"/>
        <v>NORMAL</v>
      </c>
      <c r="J1270" s="4" t="str">
        <f t="shared" si="39"/>
        <v>9</v>
      </c>
    </row>
    <row r="1271" spans="1:10">
      <c r="A1271" s="2">
        <v>1270</v>
      </c>
      <c r="B1271" s="3">
        <v>46294</v>
      </c>
      <c r="C1271" s="2">
        <v>5</v>
      </c>
      <c r="D1271" s="2">
        <v>2</v>
      </c>
      <c r="E1271" s="2">
        <v>30.6</v>
      </c>
      <c r="F1271" s="2">
        <v>3366</v>
      </c>
      <c r="G1271" t="str">
        <f>_xlfn.XLOOKUP(C1271,products!A:A,products!B:B)</f>
        <v>Grapes</v>
      </c>
      <c r="H1271" t="str">
        <f>_xlfn.XLOOKUP(D1271,stores!A:A,stores!B:B)</f>
        <v>Ohrid</v>
      </c>
      <c r="I1271" t="str">
        <f t="shared" si="38"/>
        <v>NORMAL</v>
      </c>
      <c r="J1271" s="4" t="str">
        <f t="shared" si="39"/>
        <v>9</v>
      </c>
    </row>
    <row r="1272" spans="1:10">
      <c r="A1272" s="2">
        <v>1271</v>
      </c>
      <c r="B1272" s="3">
        <v>46294</v>
      </c>
      <c r="C1272" s="2">
        <v>6</v>
      </c>
      <c r="D1272" s="2">
        <v>1</v>
      </c>
      <c r="E1272" s="2">
        <v>1.5</v>
      </c>
      <c r="F1272" s="2">
        <v>330</v>
      </c>
      <c r="G1272" t="str">
        <f>_xlfn.XLOOKUP(C1272,products!A:A,products!B:B)</f>
        <v>Strawberry</v>
      </c>
      <c r="H1272" t="str">
        <f>_xlfn.XLOOKUP(D1272,stores!A:A,stores!B:B)</f>
        <v>Bitola</v>
      </c>
      <c r="I1272" t="str">
        <f t="shared" si="38"/>
        <v>NORMAL</v>
      </c>
      <c r="J1272" s="4" t="str">
        <f t="shared" si="39"/>
        <v>9</v>
      </c>
    </row>
    <row r="1273" spans="1:10">
      <c r="A1273" s="2">
        <v>1272</v>
      </c>
      <c r="B1273" s="3">
        <v>46294</v>
      </c>
      <c r="C1273" s="2">
        <v>6</v>
      </c>
      <c r="D1273" s="2">
        <v>2</v>
      </c>
      <c r="E1273" s="2">
        <v>2</v>
      </c>
      <c r="F1273" s="2">
        <v>440</v>
      </c>
      <c r="G1273" t="str">
        <f>_xlfn.XLOOKUP(C1273,products!A:A,products!B:B)</f>
        <v>Strawberry</v>
      </c>
      <c r="H1273" t="str">
        <f>_xlfn.XLOOKUP(D1273,stores!A:A,stores!B:B)</f>
        <v>Ohrid</v>
      </c>
      <c r="I1273" t="str">
        <f t="shared" si="38"/>
        <v>NORMAL</v>
      </c>
      <c r="J1273" s="4" t="str">
        <f t="shared" si="39"/>
        <v>9</v>
      </c>
    </row>
    <row r="1274" spans="1:10">
      <c r="A1274" s="2">
        <v>1273</v>
      </c>
      <c r="B1274" s="3">
        <v>46294</v>
      </c>
      <c r="C1274" s="2">
        <v>7</v>
      </c>
      <c r="D1274" s="2">
        <v>1</v>
      </c>
      <c r="E1274" s="2">
        <v>11</v>
      </c>
      <c r="F1274" s="2">
        <v>1045</v>
      </c>
      <c r="G1274" t="str">
        <f>_xlfn.XLOOKUP(C1274,products!A:A,products!B:B)</f>
        <v>Peach</v>
      </c>
      <c r="H1274" t="str">
        <f>_xlfn.XLOOKUP(D1274,stores!A:A,stores!B:B)</f>
        <v>Bitola</v>
      </c>
      <c r="I1274" t="str">
        <f t="shared" si="38"/>
        <v>NORMAL</v>
      </c>
      <c r="J1274" s="4" t="str">
        <f t="shared" si="39"/>
        <v>9</v>
      </c>
    </row>
    <row r="1275" spans="1:10">
      <c r="A1275" s="2">
        <v>1274</v>
      </c>
      <c r="B1275" s="3">
        <v>46294</v>
      </c>
      <c r="C1275" s="2">
        <v>7</v>
      </c>
      <c r="D1275" s="2">
        <v>2</v>
      </c>
      <c r="E1275" s="2">
        <v>10.5</v>
      </c>
      <c r="F1275" s="2">
        <v>998</v>
      </c>
      <c r="G1275" t="str">
        <f>_xlfn.XLOOKUP(C1275,products!A:A,products!B:B)</f>
        <v>Peach</v>
      </c>
      <c r="H1275" t="str">
        <f>_xlfn.XLOOKUP(D1275,stores!A:A,stores!B:B)</f>
        <v>Ohrid</v>
      </c>
      <c r="I1275" t="str">
        <f t="shared" si="38"/>
        <v>NORMAL</v>
      </c>
      <c r="J1275" s="4" t="str">
        <f t="shared" si="39"/>
        <v>9</v>
      </c>
    </row>
    <row r="1276" spans="1:10">
      <c r="A1276" s="2">
        <v>1275</v>
      </c>
      <c r="B1276" s="3">
        <v>46295</v>
      </c>
      <c r="C1276" s="2">
        <v>1</v>
      </c>
      <c r="D1276" s="2">
        <v>1</v>
      </c>
      <c r="E1276" s="2">
        <v>30.7</v>
      </c>
      <c r="F1276" s="2">
        <v>1842</v>
      </c>
      <c r="G1276" t="str">
        <f>_xlfn.XLOOKUP(C1276,products!A:A,products!B:B)</f>
        <v>Apple</v>
      </c>
      <c r="H1276" t="str">
        <f>_xlfn.XLOOKUP(D1276,stores!A:A,stores!B:B)</f>
        <v>Bitola</v>
      </c>
      <c r="I1276" t="str">
        <f t="shared" si="38"/>
        <v>NORMAL</v>
      </c>
      <c r="J1276" s="4" t="str">
        <f t="shared" si="39"/>
        <v>9</v>
      </c>
    </row>
    <row r="1277" spans="1:10">
      <c r="A1277" s="2">
        <v>1276</v>
      </c>
      <c r="B1277" s="3">
        <v>46295</v>
      </c>
      <c r="C1277" s="2">
        <v>1</v>
      </c>
      <c r="D1277" s="2">
        <v>2</v>
      </c>
      <c r="E1277" s="2">
        <v>34.6</v>
      </c>
      <c r="F1277" s="2">
        <v>2076</v>
      </c>
      <c r="G1277" t="str">
        <f>_xlfn.XLOOKUP(C1277,products!A:A,products!B:B)</f>
        <v>Apple</v>
      </c>
      <c r="H1277" t="str">
        <f>_xlfn.XLOOKUP(D1277,stores!A:A,stores!B:B)</f>
        <v>Ohrid</v>
      </c>
      <c r="I1277" t="str">
        <f t="shared" si="38"/>
        <v>NORMAL</v>
      </c>
      <c r="J1277" s="4" t="str">
        <f t="shared" si="39"/>
        <v>9</v>
      </c>
    </row>
    <row r="1278" spans="1:10">
      <c r="A1278" s="2">
        <v>1277</v>
      </c>
      <c r="B1278" s="3">
        <v>46295</v>
      </c>
      <c r="C1278" s="2">
        <v>2</v>
      </c>
      <c r="D1278" s="2">
        <v>1</v>
      </c>
      <c r="E1278" s="2">
        <v>22.3</v>
      </c>
      <c r="F1278" s="2">
        <v>2007</v>
      </c>
      <c r="G1278" t="str">
        <f>_xlfn.XLOOKUP(C1278,products!A:A,products!B:B)</f>
        <v>Banana</v>
      </c>
      <c r="H1278" t="str">
        <f>_xlfn.XLOOKUP(D1278,stores!A:A,stores!B:B)</f>
        <v>Bitola</v>
      </c>
      <c r="I1278" t="str">
        <f t="shared" si="38"/>
        <v>NORMAL</v>
      </c>
      <c r="J1278" s="4" t="str">
        <f t="shared" si="39"/>
        <v>9</v>
      </c>
    </row>
    <row r="1279" spans="1:10">
      <c r="A1279" s="2">
        <v>1278</v>
      </c>
      <c r="B1279" s="3">
        <v>46295</v>
      </c>
      <c r="C1279" s="2">
        <v>2</v>
      </c>
      <c r="D1279" s="2">
        <v>2</v>
      </c>
      <c r="E1279" s="2">
        <v>28.8</v>
      </c>
      <c r="F1279" s="2">
        <v>2592</v>
      </c>
      <c r="G1279" t="str">
        <f>_xlfn.XLOOKUP(C1279,products!A:A,products!B:B)</f>
        <v>Banana</v>
      </c>
      <c r="H1279" t="str">
        <f>_xlfn.XLOOKUP(D1279,stores!A:A,stores!B:B)</f>
        <v>Ohrid</v>
      </c>
      <c r="I1279" t="str">
        <f t="shared" si="38"/>
        <v>NORMAL</v>
      </c>
      <c r="J1279" s="4" t="str">
        <f t="shared" si="39"/>
        <v>9</v>
      </c>
    </row>
    <row r="1280" spans="1:10">
      <c r="A1280" s="2">
        <v>1279</v>
      </c>
      <c r="B1280" s="3">
        <v>46295</v>
      </c>
      <c r="C1280" s="2">
        <v>3</v>
      </c>
      <c r="D1280" s="2">
        <v>1</v>
      </c>
      <c r="E1280" s="2">
        <v>15</v>
      </c>
      <c r="F1280" s="2">
        <v>1200</v>
      </c>
      <c r="G1280" t="str">
        <f>_xlfn.XLOOKUP(C1280,products!A:A,products!B:B)</f>
        <v>Orange</v>
      </c>
      <c r="H1280" t="str">
        <f>_xlfn.XLOOKUP(D1280,stores!A:A,stores!B:B)</f>
        <v>Bitola</v>
      </c>
      <c r="I1280" t="str">
        <f t="shared" si="38"/>
        <v>NORMAL</v>
      </c>
      <c r="J1280" s="4" t="str">
        <f t="shared" si="39"/>
        <v>9</v>
      </c>
    </row>
    <row r="1281" spans="1:10">
      <c r="A1281" s="2">
        <v>1280</v>
      </c>
      <c r="B1281" s="3">
        <v>46295</v>
      </c>
      <c r="C1281" s="2">
        <v>3</v>
      </c>
      <c r="D1281" s="2">
        <v>2</v>
      </c>
      <c r="E1281" s="2">
        <v>9.1</v>
      </c>
      <c r="F1281" s="2">
        <v>728</v>
      </c>
      <c r="G1281" t="str">
        <f>_xlfn.XLOOKUP(C1281,products!A:A,products!B:B)</f>
        <v>Orange</v>
      </c>
      <c r="H1281" t="str">
        <f>_xlfn.XLOOKUP(D1281,stores!A:A,stores!B:B)</f>
        <v>Ohrid</v>
      </c>
      <c r="I1281" t="str">
        <f t="shared" si="38"/>
        <v>NORMAL</v>
      </c>
      <c r="J1281" s="4" t="str">
        <f t="shared" si="39"/>
        <v>9</v>
      </c>
    </row>
    <row r="1282" spans="1:10">
      <c r="A1282" s="2">
        <v>1281</v>
      </c>
      <c r="B1282" s="3">
        <v>46295</v>
      </c>
      <c r="C1282" s="2">
        <v>4</v>
      </c>
      <c r="D1282" s="2">
        <v>1</v>
      </c>
      <c r="E1282" s="2">
        <v>32.4</v>
      </c>
      <c r="F1282" s="2">
        <v>810</v>
      </c>
      <c r="G1282" t="str">
        <f>_xlfn.XLOOKUP(C1282,products!A:A,products!B:B)</f>
        <v>Watermelon</v>
      </c>
      <c r="H1282" t="str">
        <f>_xlfn.XLOOKUP(D1282,stores!A:A,stores!B:B)</f>
        <v>Bitola</v>
      </c>
      <c r="I1282" t="str">
        <f t="shared" ref="I1282:I1289" si="40">IF(E1282&gt;50,"BIG","NORMAL")</f>
        <v>NORMAL</v>
      </c>
      <c r="J1282" s="4" t="str">
        <f t="shared" ref="J1282:J1289" si="41">TEXT(B1282,"m")</f>
        <v>9</v>
      </c>
    </row>
    <row r="1283" spans="1:10">
      <c r="A1283" s="2">
        <v>1282</v>
      </c>
      <c r="B1283" s="3">
        <v>46295</v>
      </c>
      <c r="C1283" s="2">
        <v>4</v>
      </c>
      <c r="D1283" s="2">
        <v>2</v>
      </c>
      <c r="E1283" s="2">
        <v>28</v>
      </c>
      <c r="F1283" s="2">
        <v>700</v>
      </c>
      <c r="G1283" t="str">
        <f>_xlfn.XLOOKUP(C1283,products!A:A,products!B:B)</f>
        <v>Watermelon</v>
      </c>
      <c r="H1283" t="str">
        <f>_xlfn.XLOOKUP(D1283,stores!A:A,stores!B:B)</f>
        <v>Ohrid</v>
      </c>
      <c r="I1283" t="str">
        <f t="shared" si="40"/>
        <v>NORMAL</v>
      </c>
      <c r="J1283" s="4" t="str">
        <f t="shared" si="41"/>
        <v>9</v>
      </c>
    </row>
    <row r="1284" spans="1:10">
      <c r="A1284" s="2">
        <v>1283</v>
      </c>
      <c r="B1284" s="3">
        <v>46295</v>
      </c>
      <c r="C1284" s="2">
        <v>5</v>
      </c>
      <c r="D1284" s="2">
        <v>1</v>
      </c>
      <c r="E1284" s="2">
        <v>26</v>
      </c>
      <c r="F1284" s="2">
        <v>2860</v>
      </c>
      <c r="G1284" t="str">
        <f>_xlfn.XLOOKUP(C1284,products!A:A,products!B:B)</f>
        <v>Grapes</v>
      </c>
      <c r="H1284" t="str">
        <f>_xlfn.XLOOKUP(D1284,stores!A:A,stores!B:B)</f>
        <v>Bitola</v>
      </c>
      <c r="I1284" t="str">
        <f t="shared" si="40"/>
        <v>NORMAL</v>
      </c>
      <c r="J1284" s="4" t="str">
        <f t="shared" si="41"/>
        <v>9</v>
      </c>
    </row>
    <row r="1285" spans="1:10">
      <c r="A1285" s="2">
        <v>1284</v>
      </c>
      <c r="B1285" s="3">
        <v>46295</v>
      </c>
      <c r="C1285" s="2">
        <v>5</v>
      </c>
      <c r="D1285" s="2">
        <v>2</v>
      </c>
      <c r="E1285" s="2">
        <v>21.5</v>
      </c>
      <c r="F1285" s="2">
        <v>2365</v>
      </c>
      <c r="G1285" t="str">
        <f>_xlfn.XLOOKUP(C1285,products!A:A,products!B:B)</f>
        <v>Grapes</v>
      </c>
      <c r="H1285" t="str">
        <f>_xlfn.XLOOKUP(D1285,stores!A:A,stores!B:B)</f>
        <v>Ohrid</v>
      </c>
      <c r="I1285" t="str">
        <f t="shared" si="40"/>
        <v>NORMAL</v>
      </c>
      <c r="J1285" s="4" t="str">
        <f t="shared" si="41"/>
        <v>9</v>
      </c>
    </row>
    <row r="1286" spans="1:10">
      <c r="A1286" s="2">
        <v>1285</v>
      </c>
      <c r="B1286" s="3">
        <v>46295</v>
      </c>
      <c r="C1286" s="2">
        <v>6</v>
      </c>
      <c r="D1286" s="2">
        <v>1</v>
      </c>
      <c r="E1286" s="2">
        <v>1.9</v>
      </c>
      <c r="F1286" s="2">
        <v>418</v>
      </c>
      <c r="G1286" t="str">
        <f>_xlfn.XLOOKUP(C1286,products!A:A,products!B:B)</f>
        <v>Strawberry</v>
      </c>
      <c r="H1286" t="str">
        <f>_xlfn.XLOOKUP(D1286,stores!A:A,stores!B:B)</f>
        <v>Bitola</v>
      </c>
      <c r="I1286" t="str">
        <f t="shared" si="40"/>
        <v>NORMAL</v>
      </c>
      <c r="J1286" s="4" t="str">
        <f t="shared" si="41"/>
        <v>9</v>
      </c>
    </row>
    <row r="1287" spans="1:10">
      <c r="A1287" s="2">
        <v>1286</v>
      </c>
      <c r="B1287" s="3">
        <v>46295</v>
      </c>
      <c r="C1287" s="2">
        <v>6</v>
      </c>
      <c r="D1287" s="2">
        <v>2</v>
      </c>
      <c r="E1287" s="2">
        <v>1.3</v>
      </c>
      <c r="F1287" s="2">
        <v>286</v>
      </c>
      <c r="G1287" t="str">
        <f>_xlfn.XLOOKUP(C1287,products!A:A,products!B:B)</f>
        <v>Strawberry</v>
      </c>
      <c r="H1287" t="str">
        <f>_xlfn.XLOOKUP(D1287,stores!A:A,stores!B:B)</f>
        <v>Ohrid</v>
      </c>
      <c r="I1287" t="str">
        <f t="shared" si="40"/>
        <v>NORMAL</v>
      </c>
      <c r="J1287" s="4" t="str">
        <f t="shared" si="41"/>
        <v>9</v>
      </c>
    </row>
    <row r="1288" spans="1:10">
      <c r="A1288" s="2">
        <v>1287</v>
      </c>
      <c r="B1288" s="3">
        <v>46295</v>
      </c>
      <c r="C1288" s="2">
        <v>7</v>
      </c>
      <c r="D1288" s="2">
        <v>1</v>
      </c>
      <c r="E1288" s="2">
        <v>13.4</v>
      </c>
      <c r="F1288" s="2">
        <v>1273</v>
      </c>
      <c r="G1288" t="str">
        <f>_xlfn.XLOOKUP(C1288,products!A:A,products!B:B)</f>
        <v>Peach</v>
      </c>
      <c r="H1288" t="str">
        <f>_xlfn.XLOOKUP(D1288,stores!A:A,stores!B:B)</f>
        <v>Bitola</v>
      </c>
      <c r="I1288" t="str">
        <f t="shared" si="40"/>
        <v>NORMAL</v>
      </c>
      <c r="J1288" s="4" t="str">
        <f t="shared" si="41"/>
        <v>9</v>
      </c>
    </row>
    <row r="1289" spans="1:10">
      <c r="A1289" s="2">
        <v>1288</v>
      </c>
      <c r="B1289" s="3">
        <v>46295</v>
      </c>
      <c r="C1289" s="2">
        <v>7</v>
      </c>
      <c r="D1289" s="2">
        <v>2</v>
      </c>
      <c r="E1289" s="2">
        <v>7</v>
      </c>
      <c r="F1289" s="2">
        <v>665</v>
      </c>
      <c r="G1289" t="str">
        <f>_xlfn.XLOOKUP(C1289,products!A:A,products!B:B)</f>
        <v>Peach</v>
      </c>
      <c r="H1289" t="str">
        <f>_xlfn.XLOOKUP(D1289,stores!A:A,stores!B:B)</f>
        <v>Ohrid</v>
      </c>
      <c r="I1289" t="str">
        <f t="shared" si="40"/>
        <v>NORMAL</v>
      </c>
      <c r="J1289" s="4" t="str">
        <f t="shared" si="41"/>
        <v>9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cols>
    <col min="1" max="2" width="15" customWidth="1"/>
  </cols>
  <sheetData>
    <row r="1" spans="1:2">
      <c r="A1" s="1" t="s">
        <v>25</v>
      </c>
      <c r="B1" s="1" t="s">
        <v>11</v>
      </c>
    </row>
    <row r="2" spans="1:2">
      <c r="A2" s="2">
        <v>1</v>
      </c>
      <c r="B2" s="2" t="s">
        <v>15</v>
      </c>
    </row>
    <row r="3" spans="1:2">
      <c r="A3" s="2">
        <v>2</v>
      </c>
      <c r="B3" s="2" t="s">
        <v>14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9" defaultRowHeight="14.4" outlineLevelRow="1" outlineLevelCol="1"/>
  <sheetData>
    <row r="1" spans="1:2">
      <c r="B1" t="s">
        <v>29</v>
      </c>
    </row>
    <row r="2" spans="1:2">
      <c r="A2" t="s">
        <v>30</v>
      </c>
      <c r="B2">
        <f>SUMIFS(sales!F:F,sales!G:G,"Watermelon",sales!H:H,"Ohrid")</f>
        <v>199093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products</vt:lpstr>
      <vt:lpstr>Sheet2</vt:lpstr>
      <vt:lpstr>sales</vt:lpstr>
      <vt:lpstr>stores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2026-10-17T22:35:00Z</dcterms:created>
  <dcterms:modified xsi:type="dcterms:W3CDTF">2026-10-19T00:33:33Z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17F1A0A9A6724AC684DF3E541CD9B7DD_12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